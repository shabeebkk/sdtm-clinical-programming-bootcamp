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AW dm" sheetId="2" state="visible" r:id="rId4"/>
    <sheet name="RAW ex" sheetId="3" state="visible" r:id="rId5"/>
    <sheet name="RAW ds" sheetId="4" state="visible" r:id="rId6"/>
    <sheet name="SDTM DM (EXERCISE)" sheetId="5" state="visible" r:id="rId7"/>
    <sheet name="CT Lookups" sheetId="6" state="visible" r:id="rId8"/>
    <sheet name="ANSWER" sheetId="7" state="visible" r:id="rId9"/>
    <sheet name="Chec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<sst xmlns="http://schemas.openxmlformats.org/spreadsheetml/2006/main" count="615" uniqueCount="203">
  <si>
    <t xml:space="preserve">Exercise — map raw data into SDTM DM by hand</t>
  </si>
  <si>
    <t xml:space="preserve">Study ABC-01 · do this BEFORE writing any code</t>
  </si>
  <si>
    <t xml:space="preserve">What you are doing</t>
  </si>
  <si>
    <t xml:space="preserve">The 'SDTM DM (EXERCISE)' sheet has the 23 SDTM DM variables as columns and one row per subject. Subject ABC-01-01-001 is already filled in as a worked example. Complete the other 7 rows by hand.</t>
  </si>
  <si>
    <t xml:space="preserve">Why by hand first</t>
  </si>
  <si>
    <t xml:space="preserve">A spreadsheet forces you to confront every value individually. Once you have mapped 8 subjects manually, the SAS program in Notebook 04 is just automating something you already understand.</t>
  </si>
  <si>
    <t xml:space="preserve">Where the data comes from</t>
  </si>
  <si>
    <t xml:space="preserve">THREE source sheets: 'RAW dm' (demographics), 'RAW ex' (exposure — the dose dates), and 'RAW ds' (disposition — end of study). DM is not built from demographics alone.</t>
  </si>
  <si>
    <t xml:space="preserve">How to check yourself</t>
  </si>
  <si>
    <t xml:space="preserve">The 'Check' sheet compares every cell you enter against the correct answer and shows OK or '?'. It updates as you type. Aim for 100%.</t>
  </si>
  <si>
    <t xml:space="preserve">LEGEND</t>
  </si>
  <si>
    <t xml:space="preserve">Yellow  =  YOU fill this in</t>
  </si>
  <si>
    <t xml:space="preserve">Green   =  worked example, already done</t>
  </si>
  <si>
    <t xml:space="preserve">Grey    =  read-only source data</t>
  </si>
  <si>
    <t xml:space="preserve">THE RULES YOU NEED</t>
  </si>
  <si>
    <t xml:space="preserve">STUDYID / DOMAIN</t>
  </si>
  <si>
    <t xml:space="preserve">Constant "ABC-01" and "DM".</t>
  </si>
  <si>
    <t xml:space="preserve">USUBJID</t>
  </si>
  <si>
    <t xml:space="preserve">STUDYID + "-" + SITEID + "-" + SUBJID   -&gt;   ABC-01-01-001. Keep the leading zeros!</t>
  </si>
  <si>
    <t xml:space="preserve">SUBJID / SITEID / COUNTRY / ARM</t>
  </si>
  <si>
    <t xml:space="preserve">Copy from RAW dm exactly as collected.</t>
  </si>
  <si>
    <t xml:space="preserve">AGE</t>
  </si>
  <si>
    <t xml:space="preserve">COMPLETED years from BRTHDTC to RFICDTC. Both are DD-MMM-YYYY (e.g. 14-MAY-1969). Subtract 1 if the birthday has not happened yet by the consent date. AGEU is always YEARS.</t>
  </si>
  <si>
    <t xml:space="preserve">SEX / RACE / ETHNIC</t>
  </si>
  <si>
    <t xml:space="preserve">Look up in the 'CT Lookups' sheet. Trim spaces, match the CT spelling exactly.</t>
  </si>
  <si>
    <t xml:space="preserve">ARMCD</t>
  </si>
  <si>
    <t xml:space="preserve">Drug A -&gt; A, Placebo -&gt; P. ACTARM = ARM and ACTARMCD = ARMCD in this study.</t>
  </si>
  <si>
    <t xml:space="preserve">RFSTDTC / RFENDTC</t>
  </si>
  <si>
    <t xml:space="preserve">From 'RAW ex': first and last dose date. RFXSTDTC = RFSTDTC, RFXENDTC = RFENDTC.</t>
  </si>
  <si>
    <t xml:space="preserve">RFICDTC</t>
  </si>
  <si>
    <t xml:space="preserve">From 'RAW dm' (consent date).</t>
  </si>
  <si>
    <t xml:space="preserve">RFPENDTC</t>
  </si>
  <si>
    <t xml:space="preserve">From 'RAW ds' (EOSDT) — the DISPOSITION form, not demographics.</t>
  </si>
  <si>
    <t xml:space="preserve">DTHDTC / DTHFL</t>
  </si>
  <si>
    <t xml:space="preserve">Leave blank — nobody died in this study.</t>
  </si>
  <si>
    <t xml:space="preserve">All dates</t>
  </si>
  <si>
    <t xml:space="preserve">The RAW dates are DD-MMM-YYYY (e.g. 01-MAR-2024). SDTM wants ISO 8601: YYYY-MM-DD. CONVERT EVERY ONE — that is a real part of the job.</t>
  </si>
  <si>
    <t xml:space="preserve">INSTRUCTOR NOTE: the 'ANSWER' sheet holds the completed domain. Delete it before giving this file to trainees if you want them to work blind (the Check sheet will then stop working).</t>
  </si>
  <si>
    <t xml:space="preserve">RAW dm  —  source file: dm_raw.csv</t>
  </si>
  <si>
    <t xml:space="preserve">Demographics form, completed at SCREENING. SEX is a code, RACE is free text, and the dates are DD-MMM-YYYY — NOT ISO.</t>
  </si>
  <si>
    <t xml:space="preserve">STUDYID</t>
  </si>
  <si>
    <t xml:space="preserve">SITEID</t>
  </si>
  <si>
    <t xml:space="preserve">SUBJID</t>
  </si>
  <si>
    <t xml:space="preserve">BRTHDTC</t>
  </si>
  <si>
    <t xml:space="preserve">SEX</t>
  </si>
  <si>
    <t xml:space="preserve">RACE</t>
  </si>
  <si>
    <t xml:space="preserve">ETHNIC</t>
  </si>
  <si>
    <t xml:space="preserve">COUNTRY</t>
  </si>
  <si>
    <t xml:space="preserve">ARM</t>
  </si>
  <si>
    <t xml:space="preserve">RANDDTC</t>
  </si>
  <si>
    <t xml:space="preserve">ABC-01</t>
  </si>
  <si>
    <t xml:space="preserve">01</t>
  </si>
  <si>
    <t xml:space="preserve">001</t>
  </si>
  <si>
    <t xml:space="preserve">14-MAY-1969</t>
  </si>
  <si>
    <t xml:space="preserve">2</t>
  </si>
  <si>
    <t xml:space="preserve">White</t>
  </si>
  <si>
    <t xml:space="preserve">Not Hispanic or Latino</t>
  </si>
  <si>
    <t xml:space="preserve">USA</t>
  </si>
  <si>
    <t xml:space="preserve">Drug A</t>
  </si>
  <si>
    <t xml:space="preserve">20-FEB-2024</t>
  </si>
  <si>
    <t xml:space="preserve">01-MAR-2024</t>
  </si>
  <si>
    <t xml:space="preserve">002</t>
  </si>
  <si>
    <t xml:space="preserve">02-NOV-1963</t>
  </si>
  <si>
    <t xml:space="preserve">1</t>
  </si>
  <si>
    <t xml:space="preserve">Asian</t>
  </si>
  <si>
    <t xml:space="preserve">JPN</t>
  </si>
  <si>
    <t xml:space="preserve">Placebo</t>
  </si>
  <si>
    <t xml:space="preserve">22-FEB-2024</t>
  </si>
  <si>
    <t xml:space="preserve">04-MAR-2024</t>
  </si>
  <si>
    <t xml:space="preserve">003</t>
  </si>
  <si>
    <t xml:space="preserve">30-AUG-1977</t>
  </si>
  <si>
    <t xml:space="preserve">black or african american</t>
  </si>
  <si>
    <t xml:space="preserve">25-FEB-2024</t>
  </si>
  <si>
    <t xml:space="preserve">05-MAR-2024</t>
  </si>
  <si>
    <t xml:space="preserve">004</t>
  </si>
  <si>
    <t xml:space="preserve">19-FEB-1958</t>
  </si>
  <si>
    <t xml:space="preserve">Hispanic or Latino</t>
  </si>
  <si>
    <t xml:space="preserve">26-FEB-2024</t>
  </si>
  <si>
    <t xml:space="preserve">06-MAR-2024</t>
  </si>
  <si>
    <t xml:space="preserve">02</t>
  </si>
  <si>
    <t xml:space="preserve">07-JUL-1972</t>
  </si>
  <si>
    <t xml:space="preserve">GBR</t>
  </si>
  <si>
    <t xml:space="preserve">11-MAR-2024</t>
  </si>
  <si>
    <t xml:space="preserve">25-DEC-1980</t>
  </si>
  <si>
    <t xml:space="preserve">asian</t>
  </si>
  <si>
    <t xml:space="preserve">02-MAR-2024</t>
  </si>
  <si>
    <t xml:space="preserve">12-MAR-2024</t>
  </si>
  <si>
    <t xml:space="preserve">11-MAR-1966</t>
  </si>
  <si>
    <t xml:space="preserve">White </t>
  </si>
  <si>
    <t xml:space="preserve">14-MAR-2024</t>
  </si>
  <si>
    <t xml:space="preserve">23-SEP-1955</t>
  </si>
  <si>
    <t xml:space="preserve">Black or African American</t>
  </si>
  <si>
    <t xml:space="preserve">Unknown</t>
  </si>
  <si>
    <t xml:space="preserve">15-MAR-2024</t>
  </si>
  <si>
    <t xml:space="preserve">RAW ex  —  source file: ex_raw.csv</t>
  </si>
  <si>
    <t xml:space="preserve">Exposure form. EXSTDTC / EXENDTC give you RFSTDTC / RFENDTC — convert them to ISO.</t>
  </si>
  <si>
    <t xml:space="preserve">EXTRT</t>
  </si>
  <si>
    <t xml:space="preserve">EXDOSE</t>
  </si>
  <si>
    <t xml:space="preserve">EXDOSU</t>
  </si>
  <si>
    <t xml:space="preserve">EXFREQ</t>
  </si>
  <si>
    <t xml:space="preserve">EXROUTE</t>
  </si>
  <si>
    <t xml:space="preserve">EXSTDTC</t>
  </si>
  <si>
    <t xml:space="preserve">EXENDTC</t>
  </si>
  <si>
    <t xml:space="preserve">EXINTP</t>
  </si>
  <si>
    <t xml:space="preserve">50</t>
  </si>
  <si>
    <t xml:space="preserve">mg</t>
  </si>
  <si>
    <t xml:space="preserve">QD</t>
  </si>
  <si>
    <t xml:space="preserve">ORAL</t>
  </si>
  <si>
    <t xml:space="preserve">28-MAR-2024</t>
  </si>
  <si>
    <t xml:space="preserve">N</t>
  </si>
  <si>
    <t xml:space="preserve">0</t>
  </si>
  <si>
    <t xml:space="preserve">31-MAR-2024</t>
  </si>
  <si>
    <t xml:space="preserve">01-APR-2024</t>
  </si>
  <si>
    <t xml:space="preserve">25-MAR-2024</t>
  </si>
  <si>
    <t xml:space="preserve">07-APR-2024</t>
  </si>
  <si>
    <t xml:space="preserve">08-APR-2024</t>
  </si>
  <si>
    <t xml:space="preserve">10-APR-2024</t>
  </si>
  <si>
    <t xml:space="preserve">11-APR-2024</t>
  </si>
  <si>
    <t xml:space="preserve">RAW ds  —  source file: ds_raw.csv</t>
  </si>
  <si>
    <t xml:space="preserve">Disposition form, completed at END OF STUDY. EOSDT gives you RFPENDTC — convert it to ISO.</t>
  </si>
  <si>
    <t xml:space="preserve">EOSSTAT</t>
  </si>
  <si>
    <t xml:space="preserve">EOSDT</t>
  </si>
  <si>
    <t xml:space="preserve">EOSREAS</t>
  </si>
  <si>
    <t xml:space="preserve">EOSOTH</t>
  </si>
  <si>
    <t xml:space="preserve">Completed</t>
  </si>
  <si>
    <t xml:space="preserve">Discontinued</t>
  </si>
  <si>
    <t xml:space="preserve">Adverse event</t>
  </si>
  <si>
    <t xml:space="preserve">SDTM DM — complete the yellow cells</t>
  </si>
  <si>
    <t xml:space="preserve">Row 5 (green) is a worked example. Fill rows 6-12 using RAW dm / RAW ex / RAW ds and the CT Lookups. The Check sheet grades you live.</t>
  </si>
  <si>
    <t xml:space="preserve">DOMAIN</t>
  </si>
  <si>
    <t xml:space="preserve">RFSTDTC</t>
  </si>
  <si>
    <t xml:space="preserve">RFENDTC</t>
  </si>
  <si>
    <t xml:space="preserve">RFXSTDTC</t>
  </si>
  <si>
    <t xml:space="preserve">RFXENDTC</t>
  </si>
  <si>
    <t xml:space="preserve">DTHDTC</t>
  </si>
  <si>
    <t xml:space="preserve">DTHFL</t>
  </si>
  <si>
    <t xml:space="preserve">AGEU</t>
  </si>
  <si>
    <t xml:space="preserve">ACTARMCD</t>
  </si>
  <si>
    <t xml:space="preserve">ACTARM</t>
  </si>
  <si>
    <t xml:space="preserve">DM</t>
  </si>
  <si>
    <t xml:space="preserve">ABC-01-01-001</t>
  </si>
  <si>
    <t xml:space="preserve">2024-03-01</t>
  </si>
  <si>
    <t xml:space="preserve">2024-03-28</t>
  </si>
  <si>
    <t xml:space="preserve">2024-02-20</t>
  </si>
  <si>
    <t xml:space="preserve">54</t>
  </si>
  <si>
    <t xml:space="preserve">YEARS</t>
  </si>
  <si>
    <t xml:space="preserve">F</t>
  </si>
  <si>
    <t xml:space="preserve">WHITE</t>
  </si>
  <si>
    <t xml:space="preserve">NOT HISPANIC OR LATINO</t>
  </si>
  <si>
    <t xml:space="preserve">A</t>
  </si>
  <si>
    <t xml:space="preserve">Tip: DTHDTC and DTHFL stay empty — the Check sheet expects blanks there.</t>
  </si>
  <si>
    <t xml:space="preserve">Controlled Terminology lookups</t>
  </si>
  <si>
    <t xml:space="preserve">Match the CT value EXACTLY — spelling and case.</t>
  </si>
  <si>
    <t xml:space="preserve">Variable</t>
  </si>
  <si>
    <t xml:space="preserve">Raw value</t>
  </si>
  <si>
    <t xml:space="preserve">SDTM value</t>
  </si>
  <si>
    <t xml:space="preserve">M</t>
  </si>
  <si>
    <t xml:space="preserve">ASIAN</t>
  </si>
  <si>
    <t xml:space="preserve">BLACK OR AFRICAN AMERICAN</t>
  </si>
  <si>
    <t xml:space="preserve">HISPANIC OR LATINO</t>
  </si>
  <si>
    <t xml:space="preserve">UNKNOWN</t>
  </si>
  <si>
    <t xml:space="preserve">P</t>
  </si>
  <si>
    <t xml:space="preserve">ANSWER — completed SDTM DM (instructor copy)</t>
  </si>
  <si>
    <t xml:space="preserve">Delete this sheet to make the trainee version blind.</t>
  </si>
  <si>
    <t xml:space="preserve">ABC-01-01-002</t>
  </si>
  <si>
    <t xml:space="preserve">2024-03-04</t>
  </si>
  <si>
    <t xml:space="preserve">2024-03-31</t>
  </si>
  <si>
    <t xml:space="preserve">2024-02-22</t>
  </si>
  <si>
    <t xml:space="preserve">60</t>
  </si>
  <si>
    <t xml:space="preserve">ABC-01-01-003</t>
  </si>
  <si>
    <t xml:space="preserve">2024-03-05</t>
  </si>
  <si>
    <t xml:space="preserve">2024-04-01</t>
  </si>
  <si>
    <t xml:space="preserve">2024-02-25</t>
  </si>
  <si>
    <t xml:space="preserve">46</t>
  </si>
  <si>
    <t xml:space="preserve">ABC-01-01-004</t>
  </si>
  <si>
    <t xml:space="preserve">2024-03-06</t>
  </si>
  <si>
    <t xml:space="preserve">2024-03-25</t>
  </si>
  <si>
    <t xml:space="preserve">2024-02-26</t>
  </si>
  <si>
    <t xml:space="preserve">66</t>
  </si>
  <si>
    <t xml:space="preserve">ABC-01-02-001</t>
  </si>
  <si>
    <t xml:space="preserve">2024-03-11</t>
  </si>
  <si>
    <t xml:space="preserve">2024-04-07</t>
  </si>
  <si>
    <t xml:space="preserve">51</t>
  </si>
  <si>
    <t xml:space="preserve">ABC-01-02-002</t>
  </si>
  <si>
    <t xml:space="preserve">2024-03-12</t>
  </si>
  <si>
    <t xml:space="preserve">2024-04-08</t>
  </si>
  <si>
    <t xml:space="preserve">2024-03-02</t>
  </si>
  <si>
    <t xml:space="preserve">43</t>
  </si>
  <si>
    <t xml:space="preserve">ABC-01-02-003</t>
  </si>
  <si>
    <t xml:space="preserve">2024-03-14</t>
  </si>
  <si>
    <t xml:space="preserve">2024-04-10</t>
  </si>
  <si>
    <t xml:space="preserve">57</t>
  </si>
  <si>
    <t xml:space="preserve">ABC-01-02-004</t>
  </si>
  <si>
    <t xml:space="preserve">2024-03-15</t>
  </si>
  <si>
    <t xml:space="preserve">2024-04-11</t>
  </si>
  <si>
    <t xml:space="preserve">68</t>
  </si>
  <si>
    <t xml:space="preserve">Check your work</t>
  </si>
  <si>
    <t xml:space="preserve">Live: each cell compares your entry to the answer. OK = correct, ? = not yet right.</t>
  </si>
  <si>
    <t xml:space="preserve">Cells correct</t>
  </si>
  <si>
    <t xml:space="preserve">of 161</t>
  </si>
  <si>
    <t xml:space="preserve">Percent complete</t>
  </si>
  <si>
    <t xml:space="preserve">You start at 28/161 (17.4%), not 0 — SUBJID and SITEID are given to you as row keys, and DTHDTC/DTHFL are correctly blank. The other 133 cells are yours.</t>
  </si>
  <si>
    <t xml:space="preserve">Subject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</si>
</sst>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2E3D"/>
      <name val="Arial"/>
      <family val="0"/>
      <charset val="1"/>
    </font>
    <font>
      <sz val="12"/>
      <color rgb="FF0E7C86"/>
      <name val="Arial"/>
      <family val="0"/>
      <charset val="1"/>
    </font>
    <font>
      <b val="true"/>
      <sz val="11"/>
      <color rgb="FF0E7C86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F2E3D"/>
      <name val="Arial"/>
      <family val="0"/>
      <charset val="1"/>
    </font>
    <font>
      <b val="true"/>
      <sz val="9.5"/>
      <color rgb="FF0E7C86"/>
      <name val="Arial"/>
      <family val="0"/>
      <charset val="1"/>
    </font>
    <font>
      <sz val="9.5"/>
      <name val="Arial"/>
      <family val="0"/>
      <charset val="1"/>
    </font>
    <font>
      <b val="true"/>
      <i val="true"/>
      <sz val="9.5"/>
      <color rgb="FFB5651A"/>
      <name val="Arial"/>
      <family val="0"/>
      <charset val="1"/>
    </font>
    <font>
      <b val="true"/>
      <sz val="13"/>
      <color rgb="FF0F2E3D"/>
      <name val="Arial"/>
      <family val="0"/>
      <charset val="1"/>
    </font>
    <font>
      <i val="true"/>
      <sz val="9.5"/>
      <color rgb="FF5A768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0F2E3D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B5651A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5A7682"/>
      <name val="Arial"/>
      <family val="0"/>
      <charset val="1"/>
    </font>
    <font>
      <i val="true"/>
      <sz val="9"/>
      <color rgb="FF5A7682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9.5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DF1E7"/>
      </patternFill>
    </fill>
    <fill>
      <patternFill patternType="solid">
        <fgColor rgb="FFE2EFDA"/>
        <bgColor rgb="FFF3F7F8"/>
      </patternFill>
    </fill>
    <fill>
      <patternFill patternType="solid">
        <fgColor rgb="FFF3F7F8"/>
        <bgColor rgb="FFFDF1E7"/>
      </patternFill>
    </fill>
    <fill>
      <patternFill patternType="solid">
        <fgColor rgb="FFFDF1E7"/>
        <bgColor rgb="FFFFF2CC"/>
      </patternFill>
    </fill>
    <fill>
      <patternFill patternType="solid">
        <fgColor rgb="FF0F2E3D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DEE1"/>
      </left>
      <right style="thin">
        <color rgb="FFCFDEE1"/>
      </right>
      <top style="thin">
        <color rgb="FFCFDEE1"/>
      </top>
      <bottom style="thin">
        <color rgb="FFCFDE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B5651A"/>
      <rgbColor rgb="FF800080"/>
      <rgbColor rgb="FF0E7C86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FDE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7F8"/>
      <rgbColor rgb="FFC6EFCE"/>
      <rgbColor rgb="FFFDF1E7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A7682"/>
      <rgbColor rgb="FF969696"/>
      <rgbColor rgb="FF0F2E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4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</row>
    <row r="8" customFormat="false" ht="15" hidden="false" customHeight="false" outlineLevel="0" collapsed="false">
      <c r="A8" s="3" t="s">
        <v>4</v>
      </c>
    </row>
    <row r="9" customFormat="false" ht="15" hidden="false" customHeight="true" outlineLevel="0" collapsed="false">
      <c r="A9" s="4" t="s">
        <v>5</v>
      </c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</row>
    <row r="12" customFormat="false" ht="15" hidden="false" customHeight="false" outlineLevel="0" collapsed="false">
      <c r="A12" s="3" t="s">
        <v>6</v>
      </c>
    </row>
    <row r="13" customFormat="false" ht="15" hidden="false" customHeight="true" outlineLevel="0" collapsed="false">
      <c r="A13" s="4" t="s">
        <v>7</v>
      </c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</row>
    <row r="16" customFormat="false" ht="15" hidden="false" customHeight="false" outlineLevel="0" collapsed="false">
      <c r="A16" s="3" t="s">
        <v>8</v>
      </c>
    </row>
    <row r="17" customFormat="false" ht="15" hidden="false" customHeight="true" outlineLevel="0" collapsed="false">
      <c r="A17" s="4" t="s">
        <v>9</v>
      </c>
      <c r="B17" s="4"/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20" customFormat="false" ht="15" hidden="false" customHeight="false" outlineLevel="0" collapsed="false">
      <c r="A20" s="5" t="s">
        <v>10</v>
      </c>
    </row>
    <row r="21" customFormat="false" ht="15" hidden="false" customHeight="false" outlineLevel="0" collapsed="false">
      <c r="A21" s="6"/>
      <c r="B21" s="7" t="s">
        <v>11</v>
      </c>
    </row>
    <row r="22" customFormat="false" ht="15" hidden="false" customHeight="false" outlineLevel="0" collapsed="false">
      <c r="A22" s="8"/>
      <c r="B22" s="7" t="s">
        <v>12</v>
      </c>
    </row>
    <row r="23" customFormat="false" ht="15" hidden="false" customHeight="false" outlineLevel="0" collapsed="false">
      <c r="A23" s="9"/>
      <c r="B23" s="7" t="s">
        <v>13</v>
      </c>
    </row>
    <row r="25" customFormat="false" ht="15" hidden="false" customHeight="false" outlineLevel="0" collapsed="false">
      <c r="A25" s="5" t="s">
        <v>14</v>
      </c>
    </row>
    <row r="26" customFormat="false" ht="25.5" hidden="false" customHeight="true" outlineLevel="0" collapsed="false">
      <c r="A26" s="10" t="s">
        <v>15</v>
      </c>
      <c r="B26" s="11" t="s">
        <v>16</v>
      </c>
      <c r="C26" s="11"/>
      <c r="D26" s="11"/>
      <c r="E26" s="11"/>
      <c r="F26" s="11"/>
      <c r="G26" s="11"/>
      <c r="H26" s="11"/>
    </row>
    <row r="27" customFormat="false" ht="25.5" hidden="false" customHeight="true" outlineLevel="0" collapsed="false">
      <c r="A27" s="10" t="s">
        <v>17</v>
      </c>
      <c r="B27" s="11" t="s">
        <v>18</v>
      </c>
      <c r="C27" s="11"/>
      <c r="D27" s="11"/>
      <c r="E27" s="11"/>
      <c r="F27" s="11"/>
      <c r="G27" s="11"/>
      <c r="H27" s="11"/>
    </row>
    <row r="28" customFormat="false" ht="25.5" hidden="false" customHeight="true" outlineLevel="0" collapsed="false">
      <c r="A28" s="10" t="s">
        <v>19</v>
      </c>
      <c r="B28" s="11" t="s">
        <v>20</v>
      </c>
      <c r="C28" s="11"/>
      <c r="D28" s="11"/>
      <c r="E28" s="11"/>
      <c r="F28" s="11"/>
      <c r="G28" s="11"/>
      <c r="H28" s="11"/>
    </row>
    <row r="29" customFormat="false" ht="25.5" hidden="false" customHeight="true" outlineLevel="0" collapsed="false">
      <c r="A29" s="10" t="s">
        <v>21</v>
      </c>
      <c r="B29" s="11" t="s">
        <v>22</v>
      </c>
      <c r="C29" s="11"/>
      <c r="D29" s="11"/>
      <c r="E29" s="11"/>
      <c r="F29" s="11"/>
      <c r="G29" s="11"/>
      <c r="H29" s="11"/>
    </row>
    <row r="30" customFormat="false" ht="25.5" hidden="false" customHeight="true" outlineLevel="0" collapsed="false">
      <c r="A30" s="10" t="s">
        <v>23</v>
      </c>
      <c r="B30" s="11" t="s">
        <v>24</v>
      </c>
      <c r="C30" s="11"/>
      <c r="D30" s="11"/>
      <c r="E30" s="11"/>
      <c r="F30" s="11"/>
      <c r="G30" s="11"/>
      <c r="H30" s="11"/>
    </row>
    <row r="31" customFormat="false" ht="25.5" hidden="false" customHeight="true" outlineLevel="0" collapsed="false">
      <c r="A31" s="10" t="s">
        <v>25</v>
      </c>
      <c r="B31" s="11" t="s">
        <v>26</v>
      </c>
      <c r="C31" s="11"/>
      <c r="D31" s="11"/>
      <c r="E31" s="11"/>
      <c r="F31" s="11"/>
      <c r="G31" s="11"/>
      <c r="H31" s="11"/>
    </row>
    <row r="32" customFormat="false" ht="25.5" hidden="false" customHeight="true" outlineLevel="0" collapsed="false">
      <c r="A32" s="10" t="s">
        <v>27</v>
      </c>
      <c r="B32" s="11" t="s">
        <v>28</v>
      </c>
      <c r="C32" s="11"/>
      <c r="D32" s="11"/>
      <c r="E32" s="11"/>
      <c r="F32" s="11"/>
      <c r="G32" s="11"/>
      <c r="H32" s="11"/>
    </row>
    <row r="33" customFormat="false" ht="25.5" hidden="false" customHeight="true" outlineLevel="0" collapsed="false">
      <c r="A33" s="10" t="s">
        <v>29</v>
      </c>
      <c r="B33" s="11" t="s">
        <v>30</v>
      </c>
      <c r="C33" s="11"/>
      <c r="D33" s="11"/>
      <c r="E33" s="11"/>
      <c r="F33" s="11"/>
      <c r="G33" s="11"/>
      <c r="H33" s="11"/>
    </row>
    <row r="34" customFormat="false" ht="25.5" hidden="false" customHeight="true" outlineLevel="0" collapsed="false">
      <c r="A34" s="10" t="s">
        <v>31</v>
      </c>
      <c r="B34" s="11" t="s">
        <v>32</v>
      </c>
      <c r="C34" s="11"/>
      <c r="D34" s="11"/>
      <c r="E34" s="11"/>
      <c r="F34" s="11"/>
      <c r="G34" s="11"/>
      <c r="H34" s="11"/>
    </row>
    <row r="35" customFormat="false" ht="25.5" hidden="false" customHeight="true" outlineLevel="0" collapsed="false">
      <c r="A35" s="10" t="s">
        <v>33</v>
      </c>
      <c r="B35" s="11" t="s">
        <v>34</v>
      </c>
      <c r="C35" s="11"/>
      <c r="D35" s="11"/>
      <c r="E35" s="11"/>
      <c r="F35" s="11"/>
      <c r="G35" s="11"/>
      <c r="H35" s="11"/>
    </row>
    <row r="36" customFormat="false" ht="25.5" hidden="false" customHeight="true" outlineLevel="0" collapsed="false">
      <c r="A36" s="10" t="s">
        <v>35</v>
      </c>
      <c r="B36" s="11" t="s">
        <v>36</v>
      </c>
      <c r="C36" s="11"/>
      <c r="D36" s="11"/>
      <c r="E36" s="11"/>
      <c r="F36" s="11"/>
      <c r="G36" s="11"/>
      <c r="H36" s="11"/>
    </row>
    <row r="38" customFormat="false" ht="15" hidden="false" customHeight="true" outlineLevel="0" collapsed="false">
      <c r="A38" s="12" t="s">
        <v>37</v>
      </c>
      <c r="B38" s="12"/>
      <c r="C38" s="12"/>
      <c r="D38" s="12"/>
      <c r="E38" s="12"/>
      <c r="F38" s="12"/>
      <c r="G38" s="12"/>
      <c r="H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</row>
  </sheetData>
  <mergeCells count="16">
    <mergeCell ref="A5:H6"/>
    <mergeCell ref="A9:H10"/>
    <mergeCell ref="A13:H14"/>
    <mergeCell ref="A17:H18"/>
    <mergeCell ref="B26:H26"/>
    <mergeCell ref="B27:H27"/>
    <mergeCell ref="B28:H28"/>
    <mergeCell ref="B29:H29"/>
    <mergeCell ref="B30:H30"/>
    <mergeCell ref="B31:H31"/>
    <mergeCell ref="B32:H32"/>
    <mergeCell ref="B33:H33"/>
    <mergeCell ref="B34:H34"/>
    <mergeCell ref="B35:H35"/>
    <mergeCell ref="B36:H36"/>
    <mergeCell ref="A38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9"/>
    <col collapsed="false" customWidth="true" hidden="false" outlineLevel="0" max="4" min="4" style="0" width="14"/>
    <col collapsed="false" customWidth="true" hidden="false" outlineLevel="0" max="5" min="5" style="0" width="6"/>
    <col collapsed="false" customWidth="true" hidden="false" outlineLevel="0" max="6" min="6" style="0" width="28"/>
    <col collapsed="false" customWidth="true" hidden="false" outlineLevel="0" max="7" min="7" style="0" width="25"/>
    <col collapsed="false" customWidth="true" hidden="false" outlineLevel="0" max="9" min="8" style="0" width="10"/>
    <col collapsed="false" customWidth="true" hidden="false" outlineLevel="0" max="11" min="10" style="0" width="14"/>
  </cols>
  <sheetData>
    <row r="1" customFormat="false" ht="16.15" hidden="false" customHeight="false" outlineLevel="0" collapsed="false">
      <c r="A1" s="13" t="s">
        <v>38</v>
      </c>
    </row>
    <row r="2" customFormat="false" ht="15" hidden="false" customHeight="false" outlineLevel="0" collapsed="false">
      <c r="A2" s="14" t="s">
        <v>39</v>
      </c>
    </row>
    <row r="4" customFormat="false" ht="15" hidden="false" customHeight="false" outlineLevel="0" collapsed="false">
      <c r="A4" s="15" t="s">
        <v>40</v>
      </c>
      <c r="B4" s="15" t="s">
        <v>41</v>
      </c>
      <c r="C4" s="15" t="s">
        <v>42</v>
      </c>
      <c r="D4" s="15" t="s">
        <v>43</v>
      </c>
      <c r="E4" s="15" t="s">
        <v>44</v>
      </c>
      <c r="F4" s="15" t="s">
        <v>45</v>
      </c>
      <c r="G4" s="15" t="s">
        <v>46</v>
      </c>
      <c r="H4" s="15" t="s">
        <v>47</v>
      </c>
      <c r="I4" s="15" t="s">
        <v>48</v>
      </c>
      <c r="J4" s="15" t="s">
        <v>29</v>
      </c>
      <c r="K4" s="15" t="s">
        <v>49</v>
      </c>
    </row>
    <row r="5" customFormat="false" ht="15" hidden="false" customHeight="false" outlineLevel="0" collapsed="false">
      <c r="A5" s="16" t="s">
        <v>50</v>
      </c>
      <c r="B5" s="16" t="s">
        <v>51</v>
      </c>
      <c r="C5" s="16" t="s">
        <v>52</v>
      </c>
      <c r="D5" s="16" t="s">
        <v>53</v>
      </c>
      <c r="E5" s="16" t="s">
        <v>54</v>
      </c>
      <c r="F5" s="16" t="s">
        <v>55</v>
      </c>
      <c r="G5" s="16" t="s">
        <v>56</v>
      </c>
      <c r="H5" s="16" t="s">
        <v>57</v>
      </c>
      <c r="I5" s="16" t="s">
        <v>58</v>
      </c>
      <c r="J5" s="16" t="s">
        <v>59</v>
      </c>
      <c r="K5" s="16" t="s">
        <v>60</v>
      </c>
    </row>
    <row r="6" customFormat="false" ht="15" hidden="false" customHeight="false" outlineLevel="0" collapsed="false">
      <c r="A6" s="17" t="s">
        <v>50</v>
      </c>
      <c r="B6" s="17" t="s">
        <v>51</v>
      </c>
      <c r="C6" s="17" t="s">
        <v>61</v>
      </c>
      <c r="D6" s="17" t="s">
        <v>62</v>
      </c>
      <c r="E6" s="17" t="s">
        <v>63</v>
      </c>
      <c r="F6" s="17" t="s">
        <v>64</v>
      </c>
      <c r="G6" s="17" t="s">
        <v>56</v>
      </c>
      <c r="H6" s="17" t="s">
        <v>65</v>
      </c>
      <c r="I6" s="17" t="s">
        <v>66</v>
      </c>
      <c r="J6" s="17" t="s">
        <v>67</v>
      </c>
      <c r="K6" s="17" t="s">
        <v>68</v>
      </c>
    </row>
    <row r="7" customFormat="false" ht="15" hidden="false" customHeight="false" outlineLevel="0" collapsed="false">
      <c r="A7" s="16" t="s">
        <v>50</v>
      </c>
      <c r="B7" s="16" t="s">
        <v>51</v>
      </c>
      <c r="C7" s="16" t="s">
        <v>69</v>
      </c>
      <c r="D7" s="16" t="s">
        <v>70</v>
      </c>
      <c r="E7" s="16" t="s">
        <v>54</v>
      </c>
      <c r="F7" s="16" t="s">
        <v>71</v>
      </c>
      <c r="G7" s="16" t="s">
        <v>56</v>
      </c>
      <c r="H7" s="16" t="s">
        <v>57</v>
      </c>
      <c r="I7" s="16" t="s">
        <v>58</v>
      </c>
      <c r="J7" s="16" t="s">
        <v>72</v>
      </c>
      <c r="K7" s="16" t="s">
        <v>73</v>
      </c>
    </row>
    <row r="8" customFormat="false" ht="15" hidden="false" customHeight="false" outlineLevel="0" collapsed="false">
      <c r="A8" s="17" t="s">
        <v>50</v>
      </c>
      <c r="B8" s="17" t="s">
        <v>51</v>
      </c>
      <c r="C8" s="17" t="s">
        <v>74</v>
      </c>
      <c r="D8" s="17" t="s">
        <v>75</v>
      </c>
      <c r="E8" s="17" t="s">
        <v>63</v>
      </c>
      <c r="F8" s="17" t="s">
        <v>55</v>
      </c>
      <c r="G8" s="17" t="s">
        <v>76</v>
      </c>
      <c r="H8" s="17" t="s">
        <v>57</v>
      </c>
      <c r="I8" s="17" t="s">
        <v>66</v>
      </c>
      <c r="J8" s="17" t="s">
        <v>77</v>
      </c>
      <c r="K8" s="17" t="s">
        <v>78</v>
      </c>
    </row>
    <row r="9" customFormat="false" ht="15" hidden="false" customHeight="false" outlineLevel="0" collapsed="false">
      <c r="A9" s="16" t="s">
        <v>50</v>
      </c>
      <c r="B9" s="16" t="s">
        <v>79</v>
      </c>
      <c r="C9" s="16" t="s">
        <v>52</v>
      </c>
      <c r="D9" s="16" t="s">
        <v>80</v>
      </c>
      <c r="E9" s="16" t="s">
        <v>63</v>
      </c>
      <c r="F9" s="16" t="s">
        <v>55</v>
      </c>
      <c r="G9" s="16" t="s">
        <v>56</v>
      </c>
      <c r="H9" s="16" t="s">
        <v>81</v>
      </c>
      <c r="I9" s="16" t="s">
        <v>58</v>
      </c>
      <c r="J9" s="16" t="s">
        <v>60</v>
      </c>
      <c r="K9" s="16" t="s">
        <v>82</v>
      </c>
    </row>
    <row r="10" customFormat="false" ht="15" hidden="false" customHeight="false" outlineLevel="0" collapsed="false">
      <c r="A10" s="17" t="s">
        <v>50</v>
      </c>
      <c r="B10" s="17" t="s">
        <v>79</v>
      </c>
      <c r="C10" s="17" t="s">
        <v>61</v>
      </c>
      <c r="D10" s="17" t="s">
        <v>83</v>
      </c>
      <c r="E10" s="17" t="s">
        <v>54</v>
      </c>
      <c r="F10" s="17" t="s">
        <v>84</v>
      </c>
      <c r="G10" s="17" t="s">
        <v>56</v>
      </c>
      <c r="H10" s="17" t="s">
        <v>65</v>
      </c>
      <c r="I10" s="17" t="s">
        <v>66</v>
      </c>
      <c r="J10" s="17" t="s">
        <v>85</v>
      </c>
      <c r="K10" s="17" t="s">
        <v>86</v>
      </c>
    </row>
    <row r="11" customFormat="false" ht="15" hidden="false" customHeight="false" outlineLevel="0" collapsed="false">
      <c r="A11" s="16" t="s">
        <v>50</v>
      </c>
      <c r="B11" s="16" t="s">
        <v>79</v>
      </c>
      <c r="C11" s="16" t="s">
        <v>69</v>
      </c>
      <c r="D11" s="16" t="s">
        <v>87</v>
      </c>
      <c r="E11" s="16" t="s">
        <v>54</v>
      </c>
      <c r="F11" s="16" t="s">
        <v>88</v>
      </c>
      <c r="G11" s="16" t="s">
        <v>56</v>
      </c>
      <c r="H11" s="16" t="s">
        <v>57</v>
      </c>
      <c r="I11" s="16" t="s">
        <v>58</v>
      </c>
      <c r="J11" s="16" t="s">
        <v>68</v>
      </c>
      <c r="K11" s="16" t="s">
        <v>89</v>
      </c>
    </row>
    <row r="12" customFormat="false" ht="15" hidden="false" customHeight="false" outlineLevel="0" collapsed="false">
      <c r="A12" s="17" t="s">
        <v>50</v>
      </c>
      <c r="B12" s="17" t="s">
        <v>79</v>
      </c>
      <c r="C12" s="17" t="s">
        <v>74</v>
      </c>
      <c r="D12" s="17" t="s">
        <v>90</v>
      </c>
      <c r="E12" s="17" t="s">
        <v>63</v>
      </c>
      <c r="F12" s="17" t="s">
        <v>91</v>
      </c>
      <c r="G12" s="17" t="s">
        <v>92</v>
      </c>
      <c r="H12" s="17" t="s">
        <v>57</v>
      </c>
      <c r="I12" s="17" t="s">
        <v>66</v>
      </c>
      <c r="J12" s="17" t="s">
        <v>73</v>
      </c>
      <c r="K12" s="17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9"/>
    <col collapsed="false" customWidth="true" hidden="false" outlineLevel="0" max="4" min="4" style="0" width="10"/>
    <col collapsed="false" customWidth="true" hidden="false" outlineLevel="0" max="7" min="5" style="0" width="9"/>
    <col collapsed="false" customWidth="true" hidden="false" outlineLevel="0" max="8" min="8" style="0" width="10"/>
    <col collapsed="false" customWidth="true" hidden="false" outlineLevel="0" max="10" min="9" style="0" width="14"/>
    <col collapsed="false" customWidth="true" hidden="false" outlineLevel="0" max="11" min="11" style="0" width="9"/>
  </cols>
  <sheetData>
    <row r="1" customFormat="false" ht="16.15" hidden="false" customHeight="false" outlineLevel="0" collapsed="false">
      <c r="A1" s="13" t="s">
        <v>94</v>
      </c>
    </row>
    <row r="2" customFormat="false" ht="15" hidden="false" customHeight="false" outlineLevel="0" collapsed="false">
      <c r="A2" s="14" t="s">
        <v>95</v>
      </c>
    </row>
    <row r="4" customFormat="false" ht="15" hidden="false" customHeight="false" outlineLevel="0" collapsed="false">
      <c r="A4" s="15" t="s">
        <v>40</v>
      </c>
      <c r="B4" s="15" t="s">
        <v>41</v>
      </c>
      <c r="C4" s="15" t="s">
        <v>42</v>
      </c>
      <c r="D4" s="15" t="s">
        <v>96</v>
      </c>
      <c r="E4" s="15" t="s">
        <v>97</v>
      </c>
      <c r="F4" s="15" t="s">
        <v>98</v>
      </c>
      <c r="G4" s="15" t="s">
        <v>99</v>
      </c>
      <c r="H4" s="15" t="s">
        <v>100</v>
      </c>
      <c r="I4" s="15" t="s">
        <v>101</v>
      </c>
      <c r="J4" s="15" t="s">
        <v>102</v>
      </c>
      <c r="K4" s="15" t="s">
        <v>103</v>
      </c>
    </row>
    <row r="5" customFormat="false" ht="15" hidden="false" customHeight="false" outlineLevel="0" collapsed="false">
      <c r="A5" s="16" t="s">
        <v>50</v>
      </c>
      <c r="B5" s="16" t="s">
        <v>51</v>
      </c>
      <c r="C5" s="16" t="s">
        <v>52</v>
      </c>
      <c r="D5" s="16" t="s">
        <v>58</v>
      </c>
      <c r="E5" s="16" t="s">
        <v>104</v>
      </c>
      <c r="F5" s="16" t="s">
        <v>105</v>
      </c>
      <c r="G5" s="16" t="s">
        <v>106</v>
      </c>
      <c r="H5" s="16" t="s">
        <v>107</v>
      </c>
      <c r="I5" s="16" t="s">
        <v>60</v>
      </c>
      <c r="J5" s="16" t="s">
        <v>108</v>
      </c>
      <c r="K5" s="16" t="s">
        <v>109</v>
      </c>
    </row>
    <row r="6" customFormat="false" ht="15" hidden="false" customHeight="false" outlineLevel="0" collapsed="false">
      <c r="A6" s="17" t="s">
        <v>50</v>
      </c>
      <c r="B6" s="17" t="s">
        <v>51</v>
      </c>
      <c r="C6" s="17" t="s">
        <v>61</v>
      </c>
      <c r="D6" s="17" t="s">
        <v>66</v>
      </c>
      <c r="E6" s="17" t="s">
        <v>110</v>
      </c>
      <c r="F6" s="17" t="s">
        <v>105</v>
      </c>
      <c r="G6" s="17" t="s">
        <v>106</v>
      </c>
      <c r="H6" s="17" t="s">
        <v>107</v>
      </c>
      <c r="I6" s="17" t="s">
        <v>68</v>
      </c>
      <c r="J6" s="17" t="s">
        <v>111</v>
      </c>
      <c r="K6" s="17" t="s">
        <v>109</v>
      </c>
    </row>
    <row r="7" customFormat="false" ht="15" hidden="false" customHeight="false" outlineLevel="0" collapsed="false">
      <c r="A7" s="16" t="s">
        <v>50</v>
      </c>
      <c r="B7" s="16" t="s">
        <v>51</v>
      </c>
      <c r="C7" s="16" t="s">
        <v>69</v>
      </c>
      <c r="D7" s="16" t="s">
        <v>58</v>
      </c>
      <c r="E7" s="16" t="s">
        <v>104</v>
      </c>
      <c r="F7" s="16" t="s">
        <v>105</v>
      </c>
      <c r="G7" s="16" t="s">
        <v>106</v>
      </c>
      <c r="H7" s="16" t="s">
        <v>107</v>
      </c>
      <c r="I7" s="16" t="s">
        <v>73</v>
      </c>
      <c r="J7" s="16" t="s">
        <v>112</v>
      </c>
      <c r="K7" s="16" t="s">
        <v>109</v>
      </c>
    </row>
    <row r="8" customFormat="false" ht="15" hidden="false" customHeight="false" outlineLevel="0" collapsed="false">
      <c r="A8" s="17" t="s">
        <v>50</v>
      </c>
      <c r="B8" s="17" t="s">
        <v>51</v>
      </c>
      <c r="C8" s="17" t="s">
        <v>74</v>
      </c>
      <c r="D8" s="17" t="s">
        <v>66</v>
      </c>
      <c r="E8" s="17" t="s">
        <v>110</v>
      </c>
      <c r="F8" s="17" t="s">
        <v>105</v>
      </c>
      <c r="G8" s="17" t="s">
        <v>106</v>
      </c>
      <c r="H8" s="17" t="s">
        <v>107</v>
      </c>
      <c r="I8" s="17" t="s">
        <v>78</v>
      </c>
      <c r="J8" s="17" t="s">
        <v>113</v>
      </c>
      <c r="K8" s="17" t="s">
        <v>109</v>
      </c>
    </row>
    <row r="9" customFormat="false" ht="15" hidden="false" customHeight="false" outlineLevel="0" collapsed="false">
      <c r="A9" s="16" t="s">
        <v>50</v>
      </c>
      <c r="B9" s="16" t="s">
        <v>79</v>
      </c>
      <c r="C9" s="16" t="s">
        <v>52</v>
      </c>
      <c r="D9" s="16" t="s">
        <v>58</v>
      </c>
      <c r="E9" s="16" t="s">
        <v>104</v>
      </c>
      <c r="F9" s="16" t="s">
        <v>105</v>
      </c>
      <c r="G9" s="16" t="s">
        <v>106</v>
      </c>
      <c r="H9" s="16" t="s">
        <v>107</v>
      </c>
      <c r="I9" s="16" t="s">
        <v>82</v>
      </c>
      <c r="J9" s="16" t="s">
        <v>114</v>
      </c>
      <c r="K9" s="16" t="s">
        <v>109</v>
      </c>
    </row>
    <row r="10" customFormat="false" ht="15" hidden="false" customHeight="false" outlineLevel="0" collapsed="false">
      <c r="A10" s="17" t="s">
        <v>50</v>
      </c>
      <c r="B10" s="17" t="s">
        <v>79</v>
      </c>
      <c r="C10" s="17" t="s">
        <v>61</v>
      </c>
      <c r="D10" s="17" t="s">
        <v>66</v>
      </c>
      <c r="E10" s="17" t="s">
        <v>110</v>
      </c>
      <c r="F10" s="17" t="s">
        <v>105</v>
      </c>
      <c r="G10" s="17" t="s">
        <v>106</v>
      </c>
      <c r="H10" s="17" t="s">
        <v>107</v>
      </c>
      <c r="I10" s="17" t="s">
        <v>86</v>
      </c>
      <c r="J10" s="17" t="s">
        <v>115</v>
      </c>
      <c r="K10" s="17" t="s">
        <v>109</v>
      </c>
    </row>
    <row r="11" customFormat="false" ht="15" hidden="false" customHeight="false" outlineLevel="0" collapsed="false">
      <c r="A11" s="16" t="s">
        <v>50</v>
      </c>
      <c r="B11" s="16" t="s">
        <v>79</v>
      </c>
      <c r="C11" s="16" t="s">
        <v>69</v>
      </c>
      <c r="D11" s="16" t="s">
        <v>58</v>
      </c>
      <c r="E11" s="16" t="s">
        <v>104</v>
      </c>
      <c r="F11" s="16" t="s">
        <v>105</v>
      </c>
      <c r="G11" s="16" t="s">
        <v>106</v>
      </c>
      <c r="H11" s="16" t="s">
        <v>107</v>
      </c>
      <c r="I11" s="16" t="s">
        <v>89</v>
      </c>
      <c r="J11" s="16" t="s">
        <v>116</v>
      </c>
      <c r="K11" s="16" t="s">
        <v>109</v>
      </c>
    </row>
    <row r="12" customFormat="false" ht="15" hidden="false" customHeight="false" outlineLevel="0" collapsed="false">
      <c r="A12" s="17" t="s">
        <v>50</v>
      </c>
      <c r="B12" s="17" t="s">
        <v>79</v>
      </c>
      <c r="C12" s="17" t="s">
        <v>74</v>
      </c>
      <c r="D12" s="17" t="s">
        <v>66</v>
      </c>
      <c r="E12" s="17" t="s">
        <v>110</v>
      </c>
      <c r="F12" s="17" t="s">
        <v>105</v>
      </c>
      <c r="G12" s="17" t="s">
        <v>106</v>
      </c>
      <c r="H12" s="17" t="s">
        <v>107</v>
      </c>
      <c r="I12" s="17" t="s">
        <v>93</v>
      </c>
      <c r="J12" s="17" t="s">
        <v>117</v>
      </c>
      <c r="K12" s="17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9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9"/>
  </cols>
  <sheetData>
    <row r="1" customFormat="false" ht="16.15" hidden="false" customHeight="false" outlineLevel="0" collapsed="false">
      <c r="A1" s="13" t="s">
        <v>118</v>
      </c>
    </row>
    <row r="2" customFormat="false" ht="15" hidden="false" customHeight="false" outlineLevel="0" collapsed="false">
      <c r="A2" s="14" t="s">
        <v>119</v>
      </c>
    </row>
    <row r="4" customFormat="false" ht="15" hidden="false" customHeight="false" outlineLevel="0" collapsed="false">
      <c r="A4" s="15" t="s">
        <v>40</v>
      </c>
      <c r="B4" s="15" t="s">
        <v>41</v>
      </c>
      <c r="C4" s="15" t="s">
        <v>42</v>
      </c>
      <c r="D4" s="15" t="s">
        <v>120</v>
      </c>
      <c r="E4" s="15" t="s">
        <v>121</v>
      </c>
      <c r="F4" s="15" t="s">
        <v>122</v>
      </c>
      <c r="G4" s="15" t="s">
        <v>123</v>
      </c>
    </row>
    <row r="5" customFormat="false" ht="15" hidden="false" customHeight="false" outlineLevel="0" collapsed="false">
      <c r="A5" s="16" t="s">
        <v>50</v>
      </c>
      <c r="B5" s="16" t="s">
        <v>51</v>
      </c>
      <c r="C5" s="16" t="s">
        <v>52</v>
      </c>
      <c r="D5" s="16" t="s">
        <v>124</v>
      </c>
      <c r="E5" s="16" t="s">
        <v>108</v>
      </c>
      <c r="F5" s="16"/>
      <c r="G5" s="16"/>
    </row>
    <row r="6" customFormat="false" ht="15" hidden="false" customHeight="false" outlineLevel="0" collapsed="false">
      <c r="A6" s="17" t="s">
        <v>50</v>
      </c>
      <c r="B6" s="17" t="s">
        <v>51</v>
      </c>
      <c r="C6" s="17" t="s">
        <v>61</v>
      </c>
      <c r="D6" s="17" t="s">
        <v>124</v>
      </c>
      <c r="E6" s="17" t="s">
        <v>111</v>
      </c>
      <c r="F6" s="17"/>
      <c r="G6" s="17"/>
    </row>
    <row r="7" customFormat="false" ht="15" hidden="false" customHeight="false" outlineLevel="0" collapsed="false">
      <c r="A7" s="16" t="s">
        <v>50</v>
      </c>
      <c r="B7" s="16" t="s">
        <v>51</v>
      </c>
      <c r="C7" s="16" t="s">
        <v>69</v>
      </c>
      <c r="D7" s="16" t="s">
        <v>124</v>
      </c>
      <c r="E7" s="16" t="s">
        <v>112</v>
      </c>
      <c r="F7" s="16"/>
      <c r="G7" s="16"/>
    </row>
    <row r="8" customFormat="false" ht="15" hidden="false" customHeight="false" outlineLevel="0" collapsed="false">
      <c r="A8" s="17" t="s">
        <v>50</v>
      </c>
      <c r="B8" s="17" t="s">
        <v>51</v>
      </c>
      <c r="C8" s="17" t="s">
        <v>74</v>
      </c>
      <c r="D8" s="17" t="s">
        <v>125</v>
      </c>
      <c r="E8" s="17" t="s">
        <v>113</v>
      </c>
      <c r="F8" s="17" t="s">
        <v>126</v>
      </c>
      <c r="G8" s="17"/>
    </row>
    <row r="9" customFormat="false" ht="15" hidden="false" customHeight="false" outlineLevel="0" collapsed="false">
      <c r="A9" s="16" t="s">
        <v>50</v>
      </c>
      <c r="B9" s="16" t="s">
        <v>79</v>
      </c>
      <c r="C9" s="16" t="s">
        <v>52</v>
      </c>
      <c r="D9" s="16" t="s">
        <v>124</v>
      </c>
      <c r="E9" s="16" t="s">
        <v>114</v>
      </c>
      <c r="F9" s="16"/>
      <c r="G9" s="16"/>
    </row>
    <row r="10" customFormat="false" ht="15" hidden="false" customHeight="false" outlineLevel="0" collapsed="false">
      <c r="A10" s="17" t="s">
        <v>50</v>
      </c>
      <c r="B10" s="17" t="s">
        <v>79</v>
      </c>
      <c r="C10" s="17" t="s">
        <v>61</v>
      </c>
      <c r="D10" s="17" t="s">
        <v>124</v>
      </c>
      <c r="E10" s="17" t="s">
        <v>115</v>
      </c>
      <c r="F10" s="17"/>
      <c r="G10" s="17"/>
    </row>
    <row r="11" customFormat="false" ht="15" hidden="false" customHeight="false" outlineLevel="0" collapsed="false">
      <c r="A11" s="16" t="s">
        <v>50</v>
      </c>
      <c r="B11" s="16" t="s">
        <v>79</v>
      </c>
      <c r="C11" s="16" t="s">
        <v>69</v>
      </c>
      <c r="D11" s="16" t="s">
        <v>124</v>
      </c>
      <c r="E11" s="16" t="s">
        <v>116</v>
      </c>
      <c r="F11" s="16"/>
      <c r="G11" s="16"/>
    </row>
    <row r="12" customFormat="false" ht="15" hidden="false" customHeight="false" outlineLevel="0" collapsed="false">
      <c r="A12" s="17" t="s">
        <v>50</v>
      </c>
      <c r="B12" s="17" t="s">
        <v>79</v>
      </c>
      <c r="C12" s="17" t="s">
        <v>74</v>
      </c>
      <c r="D12" s="17" t="s">
        <v>124</v>
      </c>
      <c r="E12" s="17" t="s">
        <v>117</v>
      </c>
      <c r="F12" s="17"/>
      <c r="G12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3" min="1" style="0" width="12"/>
  </cols>
  <sheetData>
    <row r="1" customFormat="false" ht="17.35" hidden="false" customHeight="false" outlineLevel="0" collapsed="false">
      <c r="A1" s="18" t="s">
        <v>127</v>
      </c>
    </row>
    <row r="2" customFormat="false" ht="15" hidden="false" customHeight="false" outlineLevel="0" collapsed="false">
      <c r="A2" s="14" t="s">
        <v>128</v>
      </c>
    </row>
    <row r="4" customFormat="false" ht="15" hidden="false" customHeight="false" outlineLevel="0" collapsed="false">
      <c r="A4" s="19" t="s">
        <v>40</v>
      </c>
      <c r="B4" s="19" t="s">
        <v>129</v>
      </c>
      <c r="C4" s="19" t="s">
        <v>17</v>
      </c>
      <c r="D4" s="19" t="s">
        <v>42</v>
      </c>
      <c r="E4" s="19" t="s">
        <v>130</v>
      </c>
      <c r="F4" s="19" t="s">
        <v>131</v>
      </c>
      <c r="G4" s="19" t="s">
        <v>132</v>
      </c>
      <c r="H4" s="19" t="s">
        <v>133</v>
      </c>
      <c r="I4" s="19" t="s">
        <v>29</v>
      </c>
      <c r="J4" s="19" t="s">
        <v>31</v>
      </c>
      <c r="K4" s="19" t="s">
        <v>134</v>
      </c>
      <c r="L4" s="19" t="s">
        <v>135</v>
      </c>
      <c r="M4" s="19" t="s">
        <v>41</v>
      </c>
      <c r="N4" s="19" t="s">
        <v>21</v>
      </c>
      <c r="O4" s="19" t="s">
        <v>136</v>
      </c>
      <c r="P4" s="19" t="s">
        <v>44</v>
      </c>
      <c r="Q4" s="19" t="s">
        <v>45</v>
      </c>
      <c r="R4" s="19" t="s">
        <v>46</v>
      </c>
      <c r="S4" s="19" t="s">
        <v>25</v>
      </c>
      <c r="T4" s="19" t="s">
        <v>48</v>
      </c>
      <c r="U4" s="19" t="s">
        <v>137</v>
      </c>
      <c r="V4" s="19" t="s">
        <v>138</v>
      </c>
      <c r="W4" s="19" t="s">
        <v>47</v>
      </c>
    </row>
    <row r="5" customFormat="false" ht="15" hidden="false" customHeight="false" outlineLevel="0" collapsed="false">
      <c r="A5" s="20" t="s">
        <v>50</v>
      </c>
      <c r="B5" s="20" t="s">
        <v>139</v>
      </c>
      <c r="C5" s="20" t="s">
        <v>140</v>
      </c>
      <c r="D5" s="20" t="s">
        <v>52</v>
      </c>
      <c r="E5" s="20" t="s">
        <v>141</v>
      </c>
      <c r="F5" s="20" t="s">
        <v>142</v>
      </c>
      <c r="G5" s="20" t="s">
        <v>141</v>
      </c>
      <c r="H5" s="20" t="s">
        <v>142</v>
      </c>
      <c r="I5" s="20" t="s">
        <v>143</v>
      </c>
      <c r="J5" s="20" t="s">
        <v>142</v>
      </c>
      <c r="K5" s="20"/>
      <c r="L5" s="20"/>
      <c r="M5" s="20" t="s">
        <v>51</v>
      </c>
      <c r="N5" s="20" t="s">
        <v>144</v>
      </c>
      <c r="O5" s="20" t="s">
        <v>145</v>
      </c>
      <c r="P5" s="20" t="s">
        <v>146</v>
      </c>
      <c r="Q5" s="20" t="s">
        <v>147</v>
      </c>
      <c r="R5" s="20" t="s">
        <v>148</v>
      </c>
      <c r="S5" s="20" t="s">
        <v>149</v>
      </c>
      <c r="T5" s="20" t="s">
        <v>58</v>
      </c>
      <c r="U5" s="20" t="s">
        <v>149</v>
      </c>
      <c r="V5" s="20" t="s">
        <v>58</v>
      </c>
      <c r="W5" s="20" t="s">
        <v>57</v>
      </c>
    </row>
    <row r="6" customFormat="false" ht="15" hidden="false" customHeight="false" outlineLevel="0" collapsed="false">
      <c r="A6" s="21"/>
      <c r="B6" s="21"/>
      <c r="C6" s="21"/>
      <c r="D6" s="22" t="s">
        <v>61</v>
      </c>
      <c r="E6" s="21"/>
      <c r="F6" s="21"/>
      <c r="G6" s="21"/>
      <c r="H6" s="21"/>
      <c r="I6" s="21"/>
      <c r="J6" s="21"/>
      <c r="K6" s="21"/>
      <c r="L6" s="21"/>
      <c r="M6" s="22" t="s">
        <v>51</v>
      </c>
      <c r="N6" s="21"/>
      <c r="O6" s="21"/>
      <c r="P6" s="21"/>
      <c r="Q6" s="21"/>
      <c r="R6" s="21"/>
      <c r="S6" s="21"/>
      <c r="T6" s="21"/>
      <c r="U6" s="21"/>
      <c r="V6" s="21"/>
      <c r="W6" s="21"/>
    </row>
    <row r="7" customFormat="false" ht="15" hidden="false" customHeight="false" outlineLevel="0" collapsed="false">
      <c r="A7" s="21"/>
      <c r="B7" s="21"/>
      <c r="C7" s="21"/>
      <c r="D7" s="22" t="s">
        <v>69</v>
      </c>
      <c r="E7" s="21"/>
      <c r="F7" s="21"/>
      <c r="G7" s="21"/>
      <c r="H7" s="21"/>
      <c r="I7" s="21"/>
      <c r="J7" s="21"/>
      <c r="K7" s="21"/>
      <c r="L7" s="21"/>
      <c r="M7" s="22" t="s">
        <v>51</v>
      </c>
      <c r="N7" s="21"/>
      <c r="O7" s="21"/>
      <c r="P7" s="21"/>
      <c r="Q7" s="21"/>
      <c r="R7" s="21"/>
      <c r="S7" s="21"/>
      <c r="T7" s="21"/>
      <c r="U7" s="21"/>
      <c r="V7" s="21"/>
      <c r="W7" s="21"/>
    </row>
    <row r="8" customFormat="false" ht="15" hidden="false" customHeight="false" outlineLevel="0" collapsed="false">
      <c r="A8" s="21"/>
      <c r="B8" s="21"/>
      <c r="C8" s="21"/>
      <c r="D8" s="22" t="s">
        <v>74</v>
      </c>
      <c r="E8" s="21"/>
      <c r="F8" s="21"/>
      <c r="G8" s="21"/>
      <c r="H8" s="21"/>
      <c r="I8" s="21"/>
      <c r="J8" s="21"/>
      <c r="K8" s="21"/>
      <c r="L8" s="21"/>
      <c r="M8" s="22" t="s">
        <v>51</v>
      </c>
      <c r="N8" s="21"/>
      <c r="O8" s="21"/>
      <c r="P8" s="21"/>
      <c r="Q8" s="21"/>
      <c r="R8" s="21"/>
      <c r="S8" s="21"/>
      <c r="T8" s="21"/>
      <c r="U8" s="21"/>
      <c r="V8" s="21"/>
      <c r="W8" s="21"/>
    </row>
    <row r="9" customFormat="false" ht="15" hidden="false" customHeight="false" outlineLevel="0" collapsed="false">
      <c r="A9" s="21"/>
      <c r="B9" s="21"/>
      <c r="C9" s="21"/>
      <c r="D9" s="22" t="s">
        <v>52</v>
      </c>
      <c r="E9" s="21"/>
      <c r="F9" s="21"/>
      <c r="G9" s="21"/>
      <c r="H9" s="21"/>
      <c r="I9" s="21"/>
      <c r="J9" s="21"/>
      <c r="K9" s="21"/>
      <c r="L9" s="21"/>
      <c r="M9" s="22" t="s">
        <v>79</v>
      </c>
      <c r="N9" s="21"/>
      <c r="O9" s="21"/>
      <c r="P9" s="21"/>
      <c r="Q9" s="21"/>
      <c r="R9" s="21"/>
      <c r="S9" s="21"/>
      <c r="T9" s="21"/>
      <c r="U9" s="21"/>
      <c r="V9" s="21"/>
      <c r="W9" s="21"/>
    </row>
    <row r="10" customFormat="false" ht="15" hidden="false" customHeight="false" outlineLevel="0" collapsed="false">
      <c r="A10" s="21"/>
      <c r="B10" s="21"/>
      <c r="C10" s="21"/>
      <c r="D10" s="22" t="s">
        <v>61</v>
      </c>
      <c r="E10" s="21"/>
      <c r="F10" s="21"/>
      <c r="G10" s="21"/>
      <c r="H10" s="21"/>
      <c r="I10" s="21"/>
      <c r="J10" s="21"/>
      <c r="K10" s="21"/>
      <c r="L10" s="21"/>
      <c r="M10" s="22" t="s">
        <v>79</v>
      </c>
      <c r="N10" s="21"/>
      <c r="O10" s="21"/>
      <c r="P10" s="21"/>
      <c r="Q10" s="21"/>
      <c r="R10" s="21"/>
      <c r="S10" s="21"/>
      <c r="T10" s="21"/>
      <c r="U10" s="21"/>
      <c r="V10" s="21"/>
      <c r="W10" s="21"/>
    </row>
    <row r="11" customFormat="false" ht="15" hidden="false" customHeight="false" outlineLevel="0" collapsed="false">
      <c r="A11" s="21"/>
      <c r="B11" s="21"/>
      <c r="C11" s="21"/>
      <c r="D11" s="22" t="s">
        <v>69</v>
      </c>
      <c r="E11" s="21"/>
      <c r="F11" s="21"/>
      <c r="G11" s="21"/>
      <c r="H11" s="21"/>
      <c r="I11" s="21"/>
      <c r="J11" s="21"/>
      <c r="K11" s="21"/>
      <c r="L11" s="21"/>
      <c r="M11" s="22" t="s">
        <v>79</v>
      </c>
      <c r="N11" s="21"/>
      <c r="O11" s="21"/>
      <c r="P11" s="21"/>
      <c r="Q11" s="21"/>
      <c r="R11" s="21"/>
      <c r="S11" s="21"/>
      <c r="T11" s="21"/>
      <c r="U11" s="21"/>
      <c r="V11" s="21"/>
      <c r="W11" s="21"/>
    </row>
    <row r="12" customFormat="false" ht="15" hidden="false" customHeight="false" outlineLevel="0" collapsed="false">
      <c r="A12" s="21"/>
      <c r="B12" s="21"/>
      <c r="C12" s="21"/>
      <c r="D12" s="22" t="s">
        <v>74</v>
      </c>
      <c r="E12" s="21"/>
      <c r="F12" s="21"/>
      <c r="G12" s="21"/>
      <c r="H12" s="21"/>
      <c r="I12" s="21"/>
      <c r="J12" s="21"/>
      <c r="K12" s="21"/>
      <c r="L12" s="21"/>
      <c r="M12" s="22" t="s">
        <v>79</v>
      </c>
      <c r="N12" s="21"/>
      <c r="O12" s="21"/>
      <c r="P12" s="21"/>
      <c r="Q12" s="21"/>
      <c r="R12" s="21"/>
      <c r="S12" s="21"/>
      <c r="T12" s="21"/>
      <c r="U12" s="21"/>
      <c r="V12" s="21"/>
      <c r="W12" s="21"/>
    </row>
    <row r="15" customFormat="false" ht="15" hidden="false" customHeight="false" outlineLevel="0" collapsed="false">
      <c r="A15" s="14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32"/>
  </cols>
  <sheetData>
    <row r="1" customFormat="false" ht="16.15" hidden="false" customHeight="false" outlineLevel="0" collapsed="false">
      <c r="A1" s="13" t="s">
        <v>151</v>
      </c>
    </row>
    <row r="2" customFormat="false" ht="15" hidden="false" customHeight="false" outlineLevel="0" collapsed="false">
      <c r="A2" s="14" t="s">
        <v>152</v>
      </c>
    </row>
    <row r="4" customFormat="false" ht="15" hidden="false" customHeight="false" outlineLevel="0" collapsed="false">
      <c r="A4" s="23" t="s">
        <v>153</v>
      </c>
      <c r="B4" s="23" t="s">
        <v>154</v>
      </c>
      <c r="C4" s="23" t="s">
        <v>155</v>
      </c>
    </row>
    <row r="5" customFormat="false" ht="15" hidden="false" customHeight="false" outlineLevel="0" collapsed="false">
      <c r="A5" s="16" t="s">
        <v>44</v>
      </c>
      <c r="B5" s="16" t="s">
        <v>63</v>
      </c>
      <c r="C5" s="24" t="s">
        <v>156</v>
      </c>
    </row>
    <row r="6" customFormat="false" ht="15" hidden="false" customHeight="false" outlineLevel="0" collapsed="false">
      <c r="A6" s="17" t="s">
        <v>44</v>
      </c>
      <c r="B6" s="17" t="s">
        <v>54</v>
      </c>
      <c r="C6" s="25" t="s">
        <v>146</v>
      </c>
    </row>
    <row r="7" customFormat="false" ht="15" hidden="false" customHeight="false" outlineLevel="0" collapsed="false">
      <c r="A7" s="16" t="s">
        <v>45</v>
      </c>
      <c r="B7" s="16" t="s">
        <v>55</v>
      </c>
      <c r="C7" s="24" t="s">
        <v>147</v>
      </c>
    </row>
    <row r="8" customFormat="false" ht="15" hidden="false" customHeight="false" outlineLevel="0" collapsed="false">
      <c r="A8" s="17" t="s">
        <v>45</v>
      </c>
      <c r="B8" s="17" t="s">
        <v>64</v>
      </c>
      <c r="C8" s="25" t="s">
        <v>157</v>
      </c>
    </row>
    <row r="9" customFormat="false" ht="15" hidden="false" customHeight="false" outlineLevel="0" collapsed="false">
      <c r="A9" s="16" t="s">
        <v>45</v>
      </c>
      <c r="B9" s="16" t="s">
        <v>84</v>
      </c>
      <c r="C9" s="24" t="s">
        <v>157</v>
      </c>
    </row>
    <row r="10" customFormat="false" ht="15" hidden="false" customHeight="false" outlineLevel="0" collapsed="false">
      <c r="A10" s="17" t="s">
        <v>45</v>
      </c>
      <c r="B10" s="17" t="s">
        <v>71</v>
      </c>
      <c r="C10" s="25" t="s">
        <v>158</v>
      </c>
    </row>
    <row r="11" customFormat="false" ht="15" hidden="false" customHeight="false" outlineLevel="0" collapsed="false">
      <c r="A11" s="16" t="s">
        <v>45</v>
      </c>
      <c r="B11" s="16" t="s">
        <v>91</v>
      </c>
      <c r="C11" s="24" t="s">
        <v>158</v>
      </c>
    </row>
    <row r="12" customFormat="false" ht="15" hidden="false" customHeight="false" outlineLevel="0" collapsed="false">
      <c r="A12" s="17" t="s">
        <v>46</v>
      </c>
      <c r="B12" s="17" t="s">
        <v>56</v>
      </c>
      <c r="C12" s="25" t="s">
        <v>148</v>
      </c>
    </row>
    <row r="13" customFormat="false" ht="15" hidden="false" customHeight="false" outlineLevel="0" collapsed="false">
      <c r="A13" s="16" t="s">
        <v>46</v>
      </c>
      <c r="B13" s="16" t="s">
        <v>76</v>
      </c>
      <c r="C13" s="24" t="s">
        <v>159</v>
      </c>
    </row>
    <row r="14" customFormat="false" ht="15" hidden="false" customHeight="false" outlineLevel="0" collapsed="false">
      <c r="A14" s="17" t="s">
        <v>46</v>
      </c>
      <c r="B14" s="17" t="s">
        <v>92</v>
      </c>
      <c r="C14" s="25" t="s">
        <v>160</v>
      </c>
    </row>
    <row r="15" customFormat="false" ht="15" hidden="false" customHeight="false" outlineLevel="0" collapsed="false">
      <c r="A15" s="16" t="s">
        <v>25</v>
      </c>
      <c r="B15" s="16" t="s">
        <v>58</v>
      </c>
      <c r="C15" s="24" t="s">
        <v>149</v>
      </c>
    </row>
    <row r="16" customFormat="false" ht="15" hidden="false" customHeight="false" outlineLevel="0" collapsed="false">
      <c r="A16" s="17" t="s">
        <v>25</v>
      </c>
      <c r="B16" s="17" t="s">
        <v>66</v>
      </c>
      <c r="C16" s="25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3" min="1" style="0" width="12"/>
  </cols>
  <sheetData>
    <row r="1" customFormat="false" ht="16.15" hidden="false" customHeight="false" outlineLevel="0" collapsed="false">
      <c r="A1" s="26" t="s">
        <v>162</v>
      </c>
    </row>
    <row r="2" customFormat="false" ht="15" hidden="false" customHeight="false" outlineLevel="0" collapsed="false">
      <c r="A2" s="14" t="s">
        <v>163</v>
      </c>
    </row>
    <row r="4" customFormat="false" ht="15" hidden="false" customHeight="false" outlineLevel="0" collapsed="false">
      <c r="A4" s="27" t="s">
        <v>40</v>
      </c>
      <c r="B4" s="27" t="s">
        <v>129</v>
      </c>
      <c r="C4" s="27" t="s">
        <v>17</v>
      </c>
      <c r="D4" s="27" t="s">
        <v>42</v>
      </c>
      <c r="E4" s="27" t="s">
        <v>130</v>
      </c>
      <c r="F4" s="27" t="s">
        <v>131</v>
      </c>
      <c r="G4" s="27" t="s">
        <v>132</v>
      </c>
      <c r="H4" s="27" t="s">
        <v>133</v>
      </c>
      <c r="I4" s="27" t="s">
        <v>29</v>
      </c>
      <c r="J4" s="27" t="s">
        <v>31</v>
      </c>
      <c r="K4" s="27" t="s">
        <v>134</v>
      </c>
      <c r="L4" s="27" t="s">
        <v>135</v>
      </c>
      <c r="M4" s="27" t="s">
        <v>41</v>
      </c>
      <c r="N4" s="27" t="s">
        <v>21</v>
      </c>
      <c r="O4" s="27" t="s">
        <v>136</v>
      </c>
      <c r="P4" s="27" t="s">
        <v>44</v>
      </c>
      <c r="Q4" s="27" t="s">
        <v>45</v>
      </c>
      <c r="R4" s="27" t="s">
        <v>46</v>
      </c>
      <c r="S4" s="27" t="s">
        <v>25</v>
      </c>
      <c r="T4" s="27" t="s">
        <v>48</v>
      </c>
      <c r="U4" s="27" t="s">
        <v>137</v>
      </c>
      <c r="V4" s="27" t="s">
        <v>138</v>
      </c>
      <c r="W4" s="27" t="s">
        <v>47</v>
      </c>
    </row>
    <row r="5" customFormat="false" ht="15" hidden="false" customHeight="false" outlineLevel="0" collapsed="false">
      <c r="A5" s="28" t="s">
        <v>50</v>
      </c>
      <c r="B5" s="28" t="s">
        <v>139</v>
      </c>
      <c r="C5" s="28" t="s">
        <v>140</v>
      </c>
      <c r="D5" s="28" t="s">
        <v>52</v>
      </c>
      <c r="E5" s="28" t="s">
        <v>141</v>
      </c>
      <c r="F5" s="28" t="s">
        <v>142</v>
      </c>
      <c r="G5" s="28" t="s">
        <v>141</v>
      </c>
      <c r="H5" s="28" t="s">
        <v>142</v>
      </c>
      <c r="I5" s="28" t="s">
        <v>143</v>
      </c>
      <c r="J5" s="28" t="s">
        <v>142</v>
      </c>
      <c r="K5" s="28"/>
      <c r="L5" s="28"/>
      <c r="M5" s="28" t="s">
        <v>51</v>
      </c>
      <c r="N5" s="28" t="s">
        <v>144</v>
      </c>
      <c r="O5" s="28" t="s">
        <v>145</v>
      </c>
      <c r="P5" s="28" t="s">
        <v>146</v>
      </c>
      <c r="Q5" s="28" t="s">
        <v>147</v>
      </c>
      <c r="R5" s="28" t="s">
        <v>148</v>
      </c>
      <c r="S5" s="28" t="s">
        <v>149</v>
      </c>
      <c r="T5" s="28" t="s">
        <v>58</v>
      </c>
      <c r="U5" s="28" t="s">
        <v>149</v>
      </c>
      <c r="V5" s="28" t="s">
        <v>58</v>
      </c>
      <c r="W5" s="28" t="s">
        <v>57</v>
      </c>
    </row>
    <row r="6" customFormat="false" ht="15" hidden="false" customHeight="false" outlineLevel="0" collapsed="false">
      <c r="A6" s="28" t="s">
        <v>50</v>
      </c>
      <c r="B6" s="28" t="s">
        <v>139</v>
      </c>
      <c r="C6" s="28" t="s">
        <v>164</v>
      </c>
      <c r="D6" s="28" t="s">
        <v>61</v>
      </c>
      <c r="E6" s="28" t="s">
        <v>165</v>
      </c>
      <c r="F6" s="28" t="s">
        <v>166</v>
      </c>
      <c r="G6" s="28" t="s">
        <v>165</v>
      </c>
      <c r="H6" s="28" t="s">
        <v>166</v>
      </c>
      <c r="I6" s="28" t="s">
        <v>167</v>
      </c>
      <c r="J6" s="28" t="s">
        <v>166</v>
      </c>
      <c r="K6" s="28"/>
      <c r="L6" s="28"/>
      <c r="M6" s="28" t="s">
        <v>51</v>
      </c>
      <c r="N6" s="28" t="s">
        <v>168</v>
      </c>
      <c r="O6" s="28" t="s">
        <v>145</v>
      </c>
      <c r="P6" s="28" t="s">
        <v>156</v>
      </c>
      <c r="Q6" s="28" t="s">
        <v>157</v>
      </c>
      <c r="R6" s="28" t="s">
        <v>148</v>
      </c>
      <c r="S6" s="28" t="s">
        <v>161</v>
      </c>
      <c r="T6" s="28" t="s">
        <v>66</v>
      </c>
      <c r="U6" s="28" t="s">
        <v>161</v>
      </c>
      <c r="V6" s="28" t="s">
        <v>66</v>
      </c>
      <c r="W6" s="28" t="s">
        <v>65</v>
      </c>
    </row>
    <row r="7" customFormat="false" ht="15" hidden="false" customHeight="false" outlineLevel="0" collapsed="false">
      <c r="A7" s="28" t="s">
        <v>50</v>
      </c>
      <c r="B7" s="28" t="s">
        <v>139</v>
      </c>
      <c r="C7" s="28" t="s">
        <v>169</v>
      </c>
      <c r="D7" s="28" t="s">
        <v>69</v>
      </c>
      <c r="E7" s="28" t="s">
        <v>170</v>
      </c>
      <c r="F7" s="28" t="s">
        <v>171</v>
      </c>
      <c r="G7" s="28" t="s">
        <v>170</v>
      </c>
      <c r="H7" s="28" t="s">
        <v>171</v>
      </c>
      <c r="I7" s="28" t="s">
        <v>172</v>
      </c>
      <c r="J7" s="28" t="s">
        <v>171</v>
      </c>
      <c r="K7" s="28"/>
      <c r="L7" s="28"/>
      <c r="M7" s="28" t="s">
        <v>51</v>
      </c>
      <c r="N7" s="28" t="s">
        <v>173</v>
      </c>
      <c r="O7" s="28" t="s">
        <v>145</v>
      </c>
      <c r="P7" s="28" t="s">
        <v>146</v>
      </c>
      <c r="Q7" s="28" t="s">
        <v>158</v>
      </c>
      <c r="R7" s="28" t="s">
        <v>148</v>
      </c>
      <c r="S7" s="28" t="s">
        <v>149</v>
      </c>
      <c r="T7" s="28" t="s">
        <v>58</v>
      </c>
      <c r="U7" s="28" t="s">
        <v>149</v>
      </c>
      <c r="V7" s="28" t="s">
        <v>58</v>
      </c>
      <c r="W7" s="28" t="s">
        <v>57</v>
      </c>
    </row>
    <row r="8" customFormat="false" ht="15" hidden="false" customHeight="false" outlineLevel="0" collapsed="false">
      <c r="A8" s="28" t="s">
        <v>50</v>
      </c>
      <c r="B8" s="28" t="s">
        <v>139</v>
      </c>
      <c r="C8" s="28" t="s">
        <v>174</v>
      </c>
      <c r="D8" s="28" t="s">
        <v>74</v>
      </c>
      <c r="E8" s="28" t="s">
        <v>175</v>
      </c>
      <c r="F8" s="28" t="s">
        <v>176</v>
      </c>
      <c r="G8" s="28" t="s">
        <v>175</v>
      </c>
      <c r="H8" s="28" t="s">
        <v>176</v>
      </c>
      <c r="I8" s="28" t="s">
        <v>177</v>
      </c>
      <c r="J8" s="28" t="s">
        <v>176</v>
      </c>
      <c r="K8" s="28"/>
      <c r="L8" s="28"/>
      <c r="M8" s="28" t="s">
        <v>51</v>
      </c>
      <c r="N8" s="28" t="s">
        <v>178</v>
      </c>
      <c r="O8" s="28" t="s">
        <v>145</v>
      </c>
      <c r="P8" s="28" t="s">
        <v>156</v>
      </c>
      <c r="Q8" s="28" t="s">
        <v>147</v>
      </c>
      <c r="R8" s="28" t="s">
        <v>159</v>
      </c>
      <c r="S8" s="28" t="s">
        <v>161</v>
      </c>
      <c r="T8" s="28" t="s">
        <v>66</v>
      </c>
      <c r="U8" s="28" t="s">
        <v>161</v>
      </c>
      <c r="V8" s="28" t="s">
        <v>66</v>
      </c>
      <c r="W8" s="28" t="s">
        <v>57</v>
      </c>
    </row>
    <row r="9" customFormat="false" ht="15" hidden="false" customHeight="false" outlineLevel="0" collapsed="false">
      <c r="A9" s="28" t="s">
        <v>50</v>
      </c>
      <c r="B9" s="28" t="s">
        <v>139</v>
      </c>
      <c r="C9" s="28" t="s">
        <v>179</v>
      </c>
      <c r="D9" s="28" t="s">
        <v>52</v>
      </c>
      <c r="E9" s="28" t="s">
        <v>180</v>
      </c>
      <c r="F9" s="28" t="s">
        <v>181</v>
      </c>
      <c r="G9" s="28" t="s">
        <v>180</v>
      </c>
      <c r="H9" s="28" t="s">
        <v>181</v>
      </c>
      <c r="I9" s="28" t="s">
        <v>141</v>
      </c>
      <c r="J9" s="28" t="s">
        <v>181</v>
      </c>
      <c r="K9" s="28"/>
      <c r="L9" s="28"/>
      <c r="M9" s="28" t="s">
        <v>79</v>
      </c>
      <c r="N9" s="28" t="s">
        <v>182</v>
      </c>
      <c r="O9" s="28" t="s">
        <v>145</v>
      </c>
      <c r="P9" s="28" t="s">
        <v>156</v>
      </c>
      <c r="Q9" s="28" t="s">
        <v>147</v>
      </c>
      <c r="R9" s="28" t="s">
        <v>148</v>
      </c>
      <c r="S9" s="28" t="s">
        <v>149</v>
      </c>
      <c r="T9" s="28" t="s">
        <v>58</v>
      </c>
      <c r="U9" s="28" t="s">
        <v>149</v>
      </c>
      <c r="V9" s="28" t="s">
        <v>58</v>
      </c>
      <c r="W9" s="28" t="s">
        <v>81</v>
      </c>
    </row>
    <row r="10" customFormat="false" ht="15" hidden="false" customHeight="false" outlineLevel="0" collapsed="false">
      <c r="A10" s="28" t="s">
        <v>50</v>
      </c>
      <c r="B10" s="28" t="s">
        <v>139</v>
      </c>
      <c r="C10" s="28" t="s">
        <v>183</v>
      </c>
      <c r="D10" s="28" t="s">
        <v>61</v>
      </c>
      <c r="E10" s="28" t="s">
        <v>184</v>
      </c>
      <c r="F10" s="28" t="s">
        <v>185</v>
      </c>
      <c r="G10" s="28" t="s">
        <v>184</v>
      </c>
      <c r="H10" s="28" t="s">
        <v>185</v>
      </c>
      <c r="I10" s="28" t="s">
        <v>186</v>
      </c>
      <c r="J10" s="28" t="s">
        <v>185</v>
      </c>
      <c r="K10" s="28"/>
      <c r="L10" s="28"/>
      <c r="M10" s="28" t="s">
        <v>79</v>
      </c>
      <c r="N10" s="28" t="s">
        <v>187</v>
      </c>
      <c r="O10" s="28" t="s">
        <v>145</v>
      </c>
      <c r="P10" s="28" t="s">
        <v>146</v>
      </c>
      <c r="Q10" s="28" t="s">
        <v>157</v>
      </c>
      <c r="R10" s="28" t="s">
        <v>148</v>
      </c>
      <c r="S10" s="28" t="s">
        <v>161</v>
      </c>
      <c r="T10" s="28" t="s">
        <v>66</v>
      </c>
      <c r="U10" s="28" t="s">
        <v>161</v>
      </c>
      <c r="V10" s="28" t="s">
        <v>66</v>
      </c>
      <c r="W10" s="28" t="s">
        <v>65</v>
      </c>
    </row>
    <row r="11" customFormat="false" ht="15" hidden="false" customHeight="false" outlineLevel="0" collapsed="false">
      <c r="A11" s="28" t="s">
        <v>50</v>
      </c>
      <c r="B11" s="28" t="s">
        <v>139</v>
      </c>
      <c r="C11" s="28" t="s">
        <v>188</v>
      </c>
      <c r="D11" s="28" t="s">
        <v>69</v>
      </c>
      <c r="E11" s="28" t="s">
        <v>189</v>
      </c>
      <c r="F11" s="28" t="s">
        <v>190</v>
      </c>
      <c r="G11" s="28" t="s">
        <v>189</v>
      </c>
      <c r="H11" s="28" t="s">
        <v>190</v>
      </c>
      <c r="I11" s="28" t="s">
        <v>165</v>
      </c>
      <c r="J11" s="28" t="s">
        <v>190</v>
      </c>
      <c r="K11" s="28"/>
      <c r="L11" s="28"/>
      <c r="M11" s="28" t="s">
        <v>79</v>
      </c>
      <c r="N11" s="28" t="s">
        <v>191</v>
      </c>
      <c r="O11" s="28" t="s">
        <v>145</v>
      </c>
      <c r="P11" s="28" t="s">
        <v>146</v>
      </c>
      <c r="Q11" s="28" t="s">
        <v>147</v>
      </c>
      <c r="R11" s="28" t="s">
        <v>148</v>
      </c>
      <c r="S11" s="28" t="s">
        <v>149</v>
      </c>
      <c r="T11" s="28" t="s">
        <v>58</v>
      </c>
      <c r="U11" s="28" t="s">
        <v>149</v>
      </c>
      <c r="V11" s="28" t="s">
        <v>58</v>
      </c>
      <c r="W11" s="28" t="s">
        <v>57</v>
      </c>
    </row>
    <row r="12" customFormat="false" ht="15" hidden="false" customHeight="false" outlineLevel="0" collapsed="false">
      <c r="A12" s="28" t="s">
        <v>50</v>
      </c>
      <c r="B12" s="28" t="s">
        <v>139</v>
      </c>
      <c r="C12" s="28" t="s">
        <v>192</v>
      </c>
      <c r="D12" s="28" t="s">
        <v>74</v>
      </c>
      <c r="E12" s="28" t="s">
        <v>193</v>
      </c>
      <c r="F12" s="28" t="s">
        <v>194</v>
      </c>
      <c r="G12" s="28" t="s">
        <v>193</v>
      </c>
      <c r="H12" s="28" t="s">
        <v>194</v>
      </c>
      <c r="I12" s="28" t="s">
        <v>170</v>
      </c>
      <c r="J12" s="28" t="s">
        <v>194</v>
      </c>
      <c r="K12" s="28"/>
      <c r="L12" s="28"/>
      <c r="M12" s="28" t="s">
        <v>79</v>
      </c>
      <c r="N12" s="28" t="s">
        <v>195</v>
      </c>
      <c r="O12" s="28" t="s">
        <v>145</v>
      </c>
      <c r="P12" s="28" t="s">
        <v>156</v>
      </c>
      <c r="Q12" s="28" t="s">
        <v>158</v>
      </c>
      <c r="R12" s="28" t="s">
        <v>160</v>
      </c>
      <c r="S12" s="28" t="s">
        <v>161</v>
      </c>
      <c r="T12" s="28" t="s">
        <v>66</v>
      </c>
      <c r="U12" s="28" t="s">
        <v>161</v>
      </c>
      <c r="V12" s="28" t="s">
        <v>66</v>
      </c>
      <c r="W12" s="28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4" min="2" style="0" width="5.51"/>
  </cols>
  <sheetData>
    <row r="1" customFormat="false" ht="17.35" hidden="false" customHeight="false" outlineLevel="0" collapsed="false">
      <c r="A1" s="18" t="s">
        <v>196</v>
      </c>
    </row>
    <row r="2" customFormat="false" ht="15" hidden="false" customHeight="false" outlineLevel="0" collapsed="false">
      <c r="A2" s="14" t="s">
        <v>197</v>
      </c>
    </row>
    <row r="4" customFormat="false" ht="15" hidden="false" customHeight="false" outlineLevel="0" collapsed="false">
      <c r="A4" s="3" t="s">
        <v>198</v>
      </c>
      <c r="B4" s="29" t="n">
        <f aca="false">COUNTIF(B8:X14,"OK")</f>
        <v>28</v>
      </c>
      <c r="C4" s="30" t="s">
        <v>199</v>
      </c>
    </row>
    <row r="5" customFormat="false" ht="25.5" hidden="false" customHeight="true" outlineLevel="0" collapsed="false">
      <c r="A5" s="3" t="s">
        <v>200</v>
      </c>
      <c r="B5" s="31" t="n">
        <f aca="false">IFERROR(B4/161,0)</f>
        <v>0.173913043478261</v>
      </c>
      <c r="C5" s="32" t="s">
        <v>201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7" customFormat="false" ht="69.75" hidden="false" customHeight="true" outlineLevel="0" collapsed="false">
      <c r="A7" s="27" t="s">
        <v>202</v>
      </c>
      <c r="B7" s="33" t="s">
        <v>40</v>
      </c>
      <c r="C7" s="33" t="s">
        <v>129</v>
      </c>
      <c r="D7" s="33" t="s">
        <v>17</v>
      </c>
      <c r="E7" s="33" t="s">
        <v>42</v>
      </c>
      <c r="F7" s="33" t="s">
        <v>130</v>
      </c>
      <c r="G7" s="33" t="s">
        <v>131</v>
      </c>
      <c r="H7" s="33" t="s">
        <v>132</v>
      </c>
      <c r="I7" s="33" t="s">
        <v>133</v>
      </c>
      <c r="J7" s="33" t="s">
        <v>29</v>
      </c>
      <c r="K7" s="33" t="s">
        <v>31</v>
      </c>
      <c r="L7" s="33" t="s">
        <v>134</v>
      </c>
      <c r="M7" s="33" t="s">
        <v>135</v>
      </c>
      <c r="N7" s="33" t="s">
        <v>41</v>
      </c>
      <c r="O7" s="33" t="s">
        <v>21</v>
      </c>
      <c r="P7" s="33" t="s">
        <v>136</v>
      </c>
      <c r="Q7" s="33" t="s">
        <v>44</v>
      </c>
      <c r="R7" s="33" t="s">
        <v>45</v>
      </c>
      <c r="S7" s="33" t="s">
        <v>46</v>
      </c>
      <c r="T7" s="33" t="s">
        <v>25</v>
      </c>
      <c r="U7" s="33" t="s">
        <v>48</v>
      </c>
      <c r="V7" s="33" t="s">
        <v>137</v>
      </c>
      <c r="W7" s="33" t="s">
        <v>138</v>
      </c>
      <c r="X7" s="33" t="s">
        <v>47</v>
      </c>
    </row>
    <row r="8" customFormat="false" ht="15" hidden="false" customHeight="false" outlineLevel="0" collapsed="false">
      <c r="A8" s="34" t="n">
        <f aca="false">'SDTM DM (EXERCISE)'!C6</f>
        <v>0</v>
      </c>
      <c r="B8" s="35" t="str">
        <f aca="false">IF(EXACT(TRIM('SDTM DM (EXERCISE)'!A6&amp;""),TRIM(ANSWER!A6&amp;"")),"OK","?")</f>
        <v>?</v>
      </c>
      <c r="C8" s="35" t="str">
        <f aca="false">IF(EXACT(TRIM('SDTM DM (EXERCISE)'!B6&amp;""),TRIM(ANSWER!B6&amp;"")),"OK","?")</f>
        <v>?</v>
      </c>
      <c r="D8" s="35" t="str">
        <f aca="false">IF(EXACT(TRIM('SDTM DM (EXERCISE)'!C6&amp;""),TRIM(ANSWER!C6&amp;"")),"OK","?")</f>
        <v>?</v>
      </c>
      <c r="E8" s="35" t="str">
        <f aca="false">IF(EXACT(TRIM('SDTM DM (EXERCISE)'!D6&amp;""),TRIM(ANSWER!D6&amp;"")),"OK","?")</f>
        <v>OK</v>
      </c>
      <c r="F8" s="35" t="str">
        <f aca="false">IF(EXACT(TRIM('SDTM DM (EXERCISE)'!E6&amp;""),TRIM(ANSWER!E6&amp;"")),"OK","?")</f>
        <v>?</v>
      </c>
      <c r="G8" s="35" t="str">
        <f aca="false">IF(EXACT(TRIM('SDTM DM (EXERCISE)'!F6&amp;""),TRIM(ANSWER!F6&amp;"")),"OK","?")</f>
        <v>?</v>
      </c>
      <c r="H8" s="35" t="str">
        <f aca="false">IF(EXACT(TRIM('SDTM DM (EXERCISE)'!G6&amp;""),TRIM(ANSWER!G6&amp;"")),"OK","?")</f>
        <v>?</v>
      </c>
      <c r="I8" s="35" t="str">
        <f aca="false">IF(EXACT(TRIM('SDTM DM (EXERCISE)'!H6&amp;""),TRIM(ANSWER!H6&amp;"")),"OK","?")</f>
        <v>?</v>
      </c>
      <c r="J8" s="35" t="str">
        <f aca="false">IF(EXACT(TRIM('SDTM DM (EXERCISE)'!I6&amp;""),TRIM(ANSWER!I6&amp;"")),"OK","?")</f>
        <v>?</v>
      </c>
      <c r="K8" s="35" t="str">
        <f aca="false">IF(EXACT(TRIM('SDTM DM (EXERCISE)'!J6&amp;""),TRIM(ANSWER!J6&amp;"")),"OK","?")</f>
        <v>?</v>
      </c>
      <c r="L8" s="35" t="str">
        <f aca="false">IF(EXACT(TRIM('SDTM DM (EXERCISE)'!K6&amp;""),TRIM(ANSWER!K6&amp;"")),"OK","?")</f>
        <v>OK</v>
      </c>
      <c r="M8" s="35" t="str">
        <f aca="false">IF(EXACT(TRIM('SDTM DM (EXERCISE)'!L6&amp;""),TRIM(ANSWER!L6&amp;"")),"OK","?")</f>
        <v>OK</v>
      </c>
      <c r="N8" s="35" t="str">
        <f aca="false">IF(EXACT(TRIM('SDTM DM (EXERCISE)'!M6&amp;""),TRIM(ANSWER!M6&amp;"")),"OK","?")</f>
        <v>OK</v>
      </c>
      <c r="O8" s="35" t="str">
        <f aca="false">IF(EXACT(TRIM('SDTM DM (EXERCISE)'!N6&amp;""),TRIM(ANSWER!N6&amp;"")),"OK","?")</f>
        <v>?</v>
      </c>
      <c r="P8" s="35" t="str">
        <f aca="false">IF(EXACT(TRIM('SDTM DM (EXERCISE)'!O6&amp;""),TRIM(ANSWER!O6&amp;"")),"OK","?")</f>
        <v>?</v>
      </c>
      <c r="Q8" s="35" t="str">
        <f aca="false">IF(EXACT(TRIM('SDTM DM (EXERCISE)'!P6&amp;""),TRIM(ANSWER!P6&amp;"")),"OK","?")</f>
        <v>?</v>
      </c>
      <c r="R8" s="35" t="str">
        <f aca="false">IF(EXACT(TRIM('SDTM DM (EXERCISE)'!Q6&amp;""),TRIM(ANSWER!Q6&amp;"")),"OK","?")</f>
        <v>?</v>
      </c>
      <c r="S8" s="35" t="str">
        <f aca="false">IF(EXACT(TRIM('SDTM DM (EXERCISE)'!R6&amp;""),TRIM(ANSWER!R6&amp;"")),"OK","?")</f>
        <v>?</v>
      </c>
      <c r="T8" s="35" t="str">
        <f aca="false">IF(EXACT(TRIM('SDTM DM (EXERCISE)'!S6&amp;""),TRIM(ANSWER!S6&amp;"")),"OK","?")</f>
        <v>?</v>
      </c>
      <c r="U8" s="35" t="str">
        <f aca="false">IF(EXACT(TRIM('SDTM DM (EXERCISE)'!T6&amp;""),TRIM(ANSWER!T6&amp;"")),"OK","?")</f>
        <v>?</v>
      </c>
      <c r="V8" s="35" t="str">
        <f aca="false">IF(EXACT(TRIM('SDTM DM (EXERCISE)'!U6&amp;""),TRIM(ANSWER!U6&amp;"")),"OK","?")</f>
        <v>?</v>
      </c>
      <c r="W8" s="35" t="str">
        <f aca="false">IF(EXACT(TRIM('SDTM DM (EXERCISE)'!V6&amp;""),TRIM(ANSWER!V6&amp;"")),"OK","?")</f>
        <v>?</v>
      </c>
      <c r="X8" s="35" t="str">
        <f aca="false">IF(EXACT(TRIM('SDTM DM (EXERCISE)'!W6&amp;""),TRIM(ANSWER!W6&amp;"")),"OK","?")</f>
        <v>?</v>
      </c>
    </row>
    <row r="9" customFormat="false" ht="15" hidden="false" customHeight="false" outlineLevel="0" collapsed="false">
      <c r="A9" s="34" t="n">
        <f aca="false">'SDTM DM (EXERCISE)'!C7</f>
        <v>0</v>
      </c>
      <c r="B9" s="35" t="str">
        <f aca="false">IF(EXACT(TRIM('SDTM DM (EXERCISE)'!A7&amp;""),TRIM(ANSWER!A7&amp;"")),"OK","?")</f>
        <v>?</v>
      </c>
      <c r="C9" s="35" t="str">
        <f aca="false">IF(EXACT(TRIM('SDTM DM (EXERCISE)'!B7&amp;""),TRIM(ANSWER!B7&amp;"")),"OK","?")</f>
        <v>?</v>
      </c>
      <c r="D9" s="35" t="str">
        <f aca="false">IF(EXACT(TRIM('SDTM DM (EXERCISE)'!C7&amp;""),TRIM(ANSWER!C7&amp;"")),"OK","?")</f>
        <v>?</v>
      </c>
      <c r="E9" s="35" t="str">
        <f aca="false">IF(EXACT(TRIM('SDTM DM (EXERCISE)'!D7&amp;""),TRIM(ANSWER!D7&amp;"")),"OK","?")</f>
        <v>OK</v>
      </c>
      <c r="F9" s="35" t="str">
        <f aca="false">IF(EXACT(TRIM('SDTM DM (EXERCISE)'!E7&amp;""),TRIM(ANSWER!E7&amp;"")),"OK","?")</f>
        <v>?</v>
      </c>
      <c r="G9" s="35" t="str">
        <f aca="false">IF(EXACT(TRIM('SDTM DM (EXERCISE)'!F7&amp;""),TRIM(ANSWER!F7&amp;"")),"OK","?")</f>
        <v>?</v>
      </c>
      <c r="H9" s="35" t="str">
        <f aca="false">IF(EXACT(TRIM('SDTM DM (EXERCISE)'!G7&amp;""),TRIM(ANSWER!G7&amp;"")),"OK","?")</f>
        <v>?</v>
      </c>
      <c r="I9" s="35" t="str">
        <f aca="false">IF(EXACT(TRIM('SDTM DM (EXERCISE)'!H7&amp;""),TRIM(ANSWER!H7&amp;"")),"OK","?")</f>
        <v>?</v>
      </c>
      <c r="J9" s="35" t="str">
        <f aca="false">IF(EXACT(TRIM('SDTM DM (EXERCISE)'!I7&amp;""),TRIM(ANSWER!I7&amp;"")),"OK","?")</f>
        <v>?</v>
      </c>
      <c r="K9" s="35" t="str">
        <f aca="false">IF(EXACT(TRIM('SDTM DM (EXERCISE)'!J7&amp;""),TRIM(ANSWER!J7&amp;"")),"OK","?")</f>
        <v>?</v>
      </c>
      <c r="L9" s="35" t="str">
        <f aca="false">IF(EXACT(TRIM('SDTM DM (EXERCISE)'!K7&amp;""),TRIM(ANSWER!K7&amp;"")),"OK","?")</f>
        <v>OK</v>
      </c>
      <c r="M9" s="35" t="str">
        <f aca="false">IF(EXACT(TRIM('SDTM DM (EXERCISE)'!L7&amp;""),TRIM(ANSWER!L7&amp;"")),"OK","?")</f>
        <v>OK</v>
      </c>
      <c r="N9" s="35" t="str">
        <f aca="false">IF(EXACT(TRIM('SDTM DM (EXERCISE)'!M7&amp;""),TRIM(ANSWER!M7&amp;"")),"OK","?")</f>
        <v>OK</v>
      </c>
      <c r="O9" s="35" t="str">
        <f aca="false">IF(EXACT(TRIM('SDTM DM (EXERCISE)'!N7&amp;""),TRIM(ANSWER!N7&amp;"")),"OK","?")</f>
        <v>?</v>
      </c>
      <c r="P9" s="35" t="str">
        <f aca="false">IF(EXACT(TRIM('SDTM DM (EXERCISE)'!O7&amp;""),TRIM(ANSWER!O7&amp;"")),"OK","?")</f>
        <v>?</v>
      </c>
      <c r="Q9" s="35" t="str">
        <f aca="false">IF(EXACT(TRIM('SDTM DM (EXERCISE)'!P7&amp;""),TRIM(ANSWER!P7&amp;"")),"OK","?")</f>
        <v>?</v>
      </c>
      <c r="R9" s="35" t="str">
        <f aca="false">IF(EXACT(TRIM('SDTM DM (EXERCISE)'!Q7&amp;""),TRIM(ANSWER!Q7&amp;"")),"OK","?")</f>
        <v>?</v>
      </c>
      <c r="S9" s="35" t="str">
        <f aca="false">IF(EXACT(TRIM('SDTM DM (EXERCISE)'!R7&amp;""),TRIM(ANSWER!R7&amp;"")),"OK","?")</f>
        <v>?</v>
      </c>
      <c r="T9" s="35" t="str">
        <f aca="false">IF(EXACT(TRIM('SDTM DM (EXERCISE)'!S7&amp;""),TRIM(ANSWER!S7&amp;"")),"OK","?")</f>
        <v>?</v>
      </c>
      <c r="U9" s="35" t="str">
        <f aca="false">IF(EXACT(TRIM('SDTM DM (EXERCISE)'!T7&amp;""),TRIM(ANSWER!T7&amp;"")),"OK","?")</f>
        <v>?</v>
      </c>
      <c r="V9" s="35" t="str">
        <f aca="false">IF(EXACT(TRIM('SDTM DM (EXERCISE)'!U7&amp;""),TRIM(ANSWER!U7&amp;"")),"OK","?")</f>
        <v>?</v>
      </c>
      <c r="W9" s="35" t="str">
        <f aca="false">IF(EXACT(TRIM('SDTM DM (EXERCISE)'!V7&amp;""),TRIM(ANSWER!V7&amp;"")),"OK","?")</f>
        <v>?</v>
      </c>
      <c r="X9" s="35" t="str">
        <f aca="false">IF(EXACT(TRIM('SDTM DM (EXERCISE)'!W7&amp;""),TRIM(ANSWER!W7&amp;"")),"OK","?")</f>
        <v>?</v>
      </c>
    </row>
    <row r="10" customFormat="false" ht="15" hidden="false" customHeight="false" outlineLevel="0" collapsed="false">
      <c r="A10" s="34" t="n">
        <f aca="false">'SDTM DM (EXERCISE)'!C8</f>
        <v>0</v>
      </c>
      <c r="B10" s="35" t="str">
        <f aca="false">IF(EXACT(TRIM('SDTM DM (EXERCISE)'!A8&amp;""),TRIM(ANSWER!A8&amp;"")),"OK","?")</f>
        <v>?</v>
      </c>
      <c r="C10" s="35" t="str">
        <f aca="false">IF(EXACT(TRIM('SDTM DM (EXERCISE)'!B8&amp;""),TRIM(ANSWER!B8&amp;"")),"OK","?")</f>
        <v>?</v>
      </c>
      <c r="D10" s="35" t="str">
        <f aca="false">IF(EXACT(TRIM('SDTM DM (EXERCISE)'!C8&amp;""),TRIM(ANSWER!C8&amp;"")),"OK","?")</f>
        <v>?</v>
      </c>
      <c r="E10" s="35" t="str">
        <f aca="false">IF(EXACT(TRIM('SDTM DM (EXERCISE)'!D8&amp;""),TRIM(ANSWER!D8&amp;"")),"OK","?")</f>
        <v>OK</v>
      </c>
      <c r="F10" s="35" t="str">
        <f aca="false">IF(EXACT(TRIM('SDTM DM (EXERCISE)'!E8&amp;""),TRIM(ANSWER!E8&amp;"")),"OK","?")</f>
        <v>?</v>
      </c>
      <c r="G10" s="35" t="str">
        <f aca="false">IF(EXACT(TRIM('SDTM DM (EXERCISE)'!F8&amp;""),TRIM(ANSWER!F8&amp;"")),"OK","?")</f>
        <v>?</v>
      </c>
      <c r="H10" s="35" t="str">
        <f aca="false">IF(EXACT(TRIM('SDTM DM (EXERCISE)'!G8&amp;""),TRIM(ANSWER!G8&amp;"")),"OK","?")</f>
        <v>?</v>
      </c>
      <c r="I10" s="35" t="str">
        <f aca="false">IF(EXACT(TRIM('SDTM DM (EXERCISE)'!H8&amp;""),TRIM(ANSWER!H8&amp;"")),"OK","?")</f>
        <v>?</v>
      </c>
      <c r="J10" s="35" t="str">
        <f aca="false">IF(EXACT(TRIM('SDTM DM (EXERCISE)'!I8&amp;""),TRIM(ANSWER!I8&amp;"")),"OK","?")</f>
        <v>?</v>
      </c>
      <c r="K10" s="35" t="str">
        <f aca="false">IF(EXACT(TRIM('SDTM DM (EXERCISE)'!J8&amp;""),TRIM(ANSWER!J8&amp;"")),"OK","?")</f>
        <v>?</v>
      </c>
      <c r="L10" s="35" t="str">
        <f aca="false">IF(EXACT(TRIM('SDTM DM (EXERCISE)'!K8&amp;""),TRIM(ANSWER!K8&amp;"")),"OK","?")</f>
        <v>OK</v>
      </c>
      <c r="M10" s="35" t="str">
        <f aca="false">IF(EXACT(TRIM('SDTM DM (EXERCISE)'!L8&amp;""),TRIM(ANSWER!L8&amp;"")),"OK","?")</f>
        <v>OK</v>
      </c>
      <c r="N10" s="35" t="str">
        <f aca="false">IF(EXACT(TRIM('SDTM DM (EXERCISE)'!M8&amp;""),TRIM(ANSWER!M8&amp;"")),"OK","?")</f>
        <v>OK</v>
      </c>
      <c r="O10" s="35" t="str">
        <f aca="false">IF(EXACT(TRIM('SDTM DM (EXERCISE)'!N8&amp;""),TRIM(ANSWER!N8&amp;"")),"OK","?")</f>
        <v>?</v>
      </c>
      <c r="P10" s="35" t="str">
        <f aca="false">IF(EXACT(TRIM('SDTM DM (EXERCISE)'!O8&amp;""),TRIM(ANSWER!O8&amp;"")),"OK","?")</f>
        <v>?</v>
      </c>
      <c r="Q10" s="35" t="str">
        <f aca="false">IF(EXACT(TRIM('SDTM DM (EXERCISE)'!P8&amp;""),TRIM(ANSWER!P8&amp;"")),"OK","?")</f>
        <v>?</v>
      </c>
      <c r="R10" s="35" t="str">
        <f aca="false">IF(EXACT(TRIM('SDTM DM (EXERCISE)'!Q8&amp;""),TRIM(ANSWER!Q8&amp;"")),"OK","?")</f>
        <v>?</v>
      </c>
      <c r="S10" s="35" t="str">
        <f aca="false">IF(EXACT(TRIM('SDTM DM (EXERCISE)'!R8&amp;""),TRIM(ANSWER!R8&amp;"")),"OK","?")</f>
        <v>?</v>
      </c>
      <c r="T10" s="35" t="str">
        <f aca="false">IF(EXACT(TRIM('SDTM DM (EXERCISE)'!S8&amp;""),TRIM(ANSWER!S8&amp;"")),"OK","?")</f>
        <v>?</v>
      </c>
      <c r="U10" s="35" t="str">
        <f aca="false">IF(EXACT(TRIM('SDTM DM (EXERCISE)'!T8&amp;""),TRIM(ANSWER!T8&amp;"")),"OK","?")</f>
        <v>?</v>
      </c>
      <c r="V10" s="35" t="str">
        <f aca="false">IF(EXACT(TRIM('SDTM DM (EXERCISE)'!U8&amp;""),TRIM(ANSWER!U8&amp;"")),"OK","?")</f>
        <v>?</v>
      </c>
      <c r="W10" s="35" t="str">
        <f aca="false">IF(EXACT(TRIM('SDTM DM (EXERCISE)'!V8&amp;""),TRIM(ANSWER!V8&amp;"")),"OK","?")</f>
        <v>?</v>
      </c>
      <c r="X10" s="35" t="str">
        <f aca="false">IF(EXACT(TRIM('SDTM DM (EXERCISE)'!W8&amp;""),TRIM(ANSWER!W8&amp;"")),"OK","?")</f>
        <v>?</v>
      </c>
    </row>
    <row r="11" customFormat="false" ht="15" hidden="false" customHeight="false" outlineLevel="0" collapsed="false">
      <c r="A11" s="34" t="n">
        <f aca="false">'SDTM DM (EXERCISE)'!C9</f>
        <v>0</v>
      </c>
      <c r="B11" s="35" t="str">
        <f aca="false">IF(EXACT(TRIM('SDTM DM (EXERCISE)'!A9&amp;""),TRIM(ANSWER!A9&amp;"")),"OK","?")</f>
        <v>?</v>
      </c>
      <c r="C11" s="35" t="str">
        <f aca="false">IF(EXACT(TRIM('SDTM DM (EXERCISE)'!B9&amp;""),TRIM(ANSWER!B9&amp;"")),"OK","?")</f>
        <v>?</v>
      </c>
      <c r="D11" s="35" t="str">
        <f aca="false">IF(EXACT(TRIM('SDTM DM (EXERCISE)'!C9&amp;""),TRIM(ANSWER!C9&amp;"")),"OK","?")</f>
        <v>?</v>
      </c>
      <c r="E11" s="35" t="str">
        <f aca="false">IF(EXACT(TRIM('SDTM DM (EXERCISE)'!D9&amp;""),TRIM(ANSWER!D9&amp;"")),"OK","?")</f>
        <v>OK</v>
      </c>
      <c r="F11" s="35" t="str">
        <f aca="false">IF(EXACT(TRIM('SDTM DM (EXERCISE)'!E9&amp;""),TRIM(ANSWER!E9&amp;"")),"OK","?")</f>
        <v>?</v>
      </c>
      <c r="G11" s="35" t="str">
        <f aca="false">IF(EXACT(TRIM('SDTM DM (EXERCISE)'!F9&amp;""),TRIM(ANSWER!F9&amp;"")),"OK","?")</f>
        <v>?</v>
      </c>
      <c r="H11" s="35" t="str">
        <f aca="false">IF(EXACT(TRIM('SDTM DM (EXERCISE)'!G9&amp;""),TRIM(ANSWER!G9&amp;"")),"OK","?")</f>
        <v>?</v>
      </c>
      <c r="I11" s="35" t="str">
        <f aca="false">IF(EXACT(TRIM('SDTM DM (EXERCISE)'!H9&amp;""),TRIM(ANSWER!H9&amp;"")),"OK","?")</f>
        <v>?</v>
      </c>
      <c r="J11" s="35" t="str">
        <f aca="false">IF(EXACT(TRIM('SDTM DM (EXERCISE)'!I9&amp;""),TRIM(ANSWER!I9&amp;"")),"OK","?")</f>
        <v>?</v>
      </c>
      <c r="K11" s="35" t="str">
        <f aca="false">IF(EXACT(TRIM('SDTM DM (EXERCISE)'!J9&amp;""),TRIM(ANSWER!J9&amp;"")),"OK","?")</f>
        <v>?</v>
      </c>
      <c r="L11" s="35" t="str">
        <f aca="false">IF(EXACT(TRIM('SDTM DM (EXERCISE)'!K9&amp;""),TRIM(ANSWER!K9&amp;"")),"OK","?")</f>
        <v>OK</v>
      </c>
      <c r="M11" s="35" t="str">
        <f aca="false">IF(EXACT(TRIM('SDTM DM (EXERCISE)'!L9&amp;""),TRIM(ANSWER!L9&amp;"")),"OK","?")</f>
        <v>OK</v>
      </c>
      <c r="N11" s="35" t="str">
        <f aca="false">IF(EXACT(TRIM('SDTM DM (EXERCISE)'!M9&amp;""),TRIM(ANSWER!M9&amp;"")),"OK","?")</f>
        <v>OK</v>
      </c>
      <c r="O11" s="35" t="str">
        <f aca="false">IF(EXACT(TRIM('SDTM DM (EXERCISE)'!N9&amp;""),TRIM(ANSWER!N9&amp;"")),"OK","?")</f>
        <v>?</v>
      </c>
      <c r="P11" s="35" t="str">
        <f aca="false">IF(EXACT(TRIM('SDTM DM (EXERCISE)'!O9&amp;""),TRIM(ANSWER!O9&amp;"")),"OK","?")</f>
        <v>?</v>
      </c>
      <c r="Q11" s="35" t="str">
        <f aca="false">IF(EXACT(TRIM('SDTM DM (EXERCISE)'!P9&amp;""),TRIM(ANSWER!P9&amp;"")),"OK","?")</f>
        <v>?</v>
      </c>
      <c r="R11" s="35" t="str">
        <f aca="false">IF(EXACT(TRIM('SDTM DM (EXERCISE)'!Q9&amp;""),TRIM(ANSWER!Q9&amp;"")),"OK","?")</f>
        <v>?</v>
      </c>
      <c r="S11" s="35" t="str">
        <f aca="false">IF(EXACT(TRIM('SDTM DM (EXERCISE)'!R9&amp;""),TRIM(ANSWER!R9&amp;"")),"OK","?")</f>
        <v>?</v>
      </c>
      <c r="T11" s="35" t="str">
        <f aca="false">IF(EXACT(TRIM('SDTM DM (EXERCISE)'!S9&amp;""),TRIM(ANSWER!S9&amp;"")),"OK","?")</f>
        <v>?</v>
      </c>
      <c r="U11" s="35" t="str">
        <f aca="false">IF(EXACT(TRIM('SDTM DM (EXERCISE)'!T9&amp;""),TRIM(ANSWER!T9&amp;"")),"OK","?")</f>
        <v>?</v>
      </c>
      <c r="V11" s="35" t="str">
        <f aca="false">IF(EXACT(TRIM('SDTM DM (EXERCISE)'!U9&amp;""),TRIM(ANSWER!U9&amp;"")),"OK","?")</f>
        <v>?</v>
      </c>
      <c r="W11" s="35" t="str">
        <f aca="false">IF(EXACT(TRIM('SDTM DM (EXERCISE)'!V9&amp;""),TRIM(ANSWER!V9&amp;"")),"OK","?")</f>
        <v>?</v>
      </c>
      <c r="X11" s="35" t="str">
        <f aca="false">IF(EXACT(TRIM('SDTM DM (EXERCISE)'!W9&amp;""),TRIM(ANSWER!W9&amp;"")),"OK","?")</f>
        <v>?</v>
      </c>
    </row>
    <row r="12" customFormat="false" ht="15" hidden="false" customHeight="false" outlineLevel="0" collapsed="false">
      <c r="A12" s="34" t="n">
        <f aca="false">'SDTM DM (EXERCISE)'!C10</f>
        <v>0</v>
      </c>
      <c r="B12" s="35" t="str">
        <f aca="false">IF(EXACT(TRIM('SDTM DM (EXERCISE)'!A10&amp;""),TRIM(ANSWER!A10&amp;"")),"OK","?")</f>
        <v>?</v>
      </c>
      <c r="C12" s="35" t="str">
        <f aca="false">IF(EXACT(TRIM('SDTM DM (EXERCISE)'!B10&amp;""),TRIM(ANSWER!B10&amp;"")),"OK","?")</f>
        <v>?</v>
      </c>
      <c r="D12" s="35" t="str">
        <f aca="false">IF(EXACT(TRIM('SDTM DM (EXERCISE)'!C10&amp;""),TRIM(ANSWER!C10&amp;"")),"OK","?")</f>
        <v>?</v>
      </c>
      <c r="E12" s="35" t="str">
        <f aca="false">IF(EXACT(TRIM('SDTM DM (EXERCISE)'!D10&amp;""),TRIM(ANSWER!D10&amp;"")),"OK","?")</f>
        <v>OK</v>
      </c>
      <c r="F12" s="35" t="str">
        <f aca="false">IF(EXACT(TRIM('SDTM DM (EXERCISE)'!E10&amp;""),TRIM(ANSWER!E10&amp;"")),"OK","?")</f>
        <v>?</v>
      </c>
      <c r="G12" s="35" t="str">
        <f aca="false">IF(EXACT(TRIM('SDTM DM (EXERCISE)'!F10&amp;""),TRIM(ANSWER!F10&amp;"")),"OK","?")</f>
        <v>?</v>
      </c>
      <c r="H12" s="35" t="str">
        <f aca="false">IF(EXACT(TRIM('SDTM DM (EXERCISE)'!G10&amp;""),TRIM(ANSWER!G10&amp;"")),"OK","?")</f>
        <v>?</v>
      </c>
      <c r="I12" s="35" t="str">
        <f aca="false">IF(EXACT(TRIM('SDTM DM (EXERCISE)'!H10&amp;""),TRIM(ANSWER!H10&amp;"")),"OK","?")</f>
        <v>?</v>
      </c>
      <c r="J12" s="35" t="str">
        <f aca="false">IF(EXACT(TRIM('SDTM DM (EXERCISE)'!I10&amp;""),TRIM(ANSWER!I10&amp;"")),"OK","?")</f>
        <v>?</v>
      </c>
      <c r="K12" s="35" t="str">
        <f aca="false">IF(EXACT(TRIM('SDTM DM (EXERCISE)'!J10&amp;""),TRIM(ANSWER!J10&amp;"")),"OK","?")</f>
        <v>?</v>
      </c>
      <c r="L12" s="35" t="str">
        <f aca="false">IF(EXACT(TRIM('SDTM DM (EXERCISE)'!K10&amp;""),TRIM(ANSWER!K10&amp;"")),"OK","?")</f>
        <v>OK</v>
      </c>
      <c r="M12" s="35" t="str">
        <f aca="false">IF(EXACT(TRIM('SDTM DM (EXERCISE)'!L10&amp;""),TRIM(ANSWER!L10&amp;"")),"OK","?")</f>
        <v>OK</v>
      </c>
      <c r="N12" s="35" t="str">
        <f aca="false">IF(EXACT(TRIM('SDTM DM (EXERCISE)'!M10&amp;""),TRIM(ANSWER!M10&amp;"")),"OK","?")</f>
        <v>OK</v>
      </c>
      <c r="O12" s="35" t="str">
        <f aca="false">IF(EXACT(TRIM('SDTM DM (EXERCISE)'!N10&amp;""),TRIM(ANSWER!N10&amp;"")),"OK","?")</f>
        <v>?</v>
      </c>
      <c r="P12" s="35" t="str">
        <f aca="false">IF(EXACT(TRIM('SDTM DM (EXERCISE)'!O10&amp;""),TRIM(ANSWER!O10&amp;"")),"OK","?")</f>
        <v>?</v>
      </c>
      <c r="Q12" s="35" t="str">
        <f aca="false">IF(EXACT(TRIM('SDTM DM (EXERCISE)'!P10&amp;""),TRIM(ANSWER!P10&amp;"")),"OK","?")</f>
        <v>?</v>
      </c>
      <c r="R12" s="35" t="str">
        <f aca="false">IF(EXACT(TRIM('SDTM DM (EXERCISE)'!Q10&amp;""),TRIM(ANSWER!Q10&amp;"")),"OK","?")</f>
        <v>?</v>
      </c>
      <c r="S12" s="35" t="str">
        <f aca="false">IF(EXACT(TRIM('SDTM DM (EXERCISE)'!R10&amp;""),TRIM(ANSWER!R10&amp;"")),"OK","?")</f>
        <v>?</v>
      </c>
      <c r="T12" s="35" t="str">
        <f aca="false">IF(EXACT(TRIM('SDTM DM (EXERCISE)'!S10&amp;""),TRIM(ANSWER!S10&amp;"")),"OK","?")</f>
        <v>?</v>
      </c>
      <c r="U12" s="35" t="str">
        <f aca="false">IF(EXACT(TRIM('SDTM DM (EXERCISE)'!T10&amp;""),TRIM(ANSWER!T10&amp;"")),"OK","?")</f>
        <v>?</v>
      </c>
      <c r="V12" s="35" t="str">
        <f aca="false">IF(EXACT(TRIM('SDTM DM (EXERCISE)'!U10&amp;""),TRIM(ANSWER!U10&amp;"")),"OK","?")</f>
        <v>?</v>
      </c>
      <c r="W12" s="35" t="str">
        <f aca="false">IF(EXACT(TRIM('SDTM DM (EXERCISE)'!V10&amp;""),TRIM(ANSWER!V10&amp;"")),"OK","?")</f>
        <v>?</v>
      </c>
      <c r="X12" s="35" t="str">
        <f aca="false">IF(EXACT(TRIM('SDTM DM (EXERCISE)'!W10&amp;""),TRIM(ANSWER!W10&amp;"")),"OK","?")</f>
        <v>?</v>
      </c>
    </row>
    <row r="13" customFormat="false" ht="15" hidden="false" customHeight="false" outlineLevel="0" collapsed="false">
      <c r="A13" s="34" t="n">
        <f aca="false">'SDTM DM (EXERCISE)'!C11</f>
        <v>0</v>
      </c>
      <c r="B13" s="35" t="str">
        <f aca="false">IF(EXACT(TRIM('SDTM DM (EXERCISE)'!A11&amp;""),TRIM(ANSWER!A11&amp;"")),"OK","?")</f>
        <v>?</v>
      </c>
      <c r="C13" s="35" t="str">
        <f aca="false">IF(EXACT(TRIM('SDTM DM (EXERCISE)'!B11&amp;""),TRIM(ANSWER!B11&amp;"")),"OK","?")</f>
        <v>?</v>
      </c>
      <c r="D13" s="35" t="str">
        <f aca="false">IF(EXACT(TRIM('SDTM DM (EXERCISE)'!C11&amp;""),TRIM(ANSWER!C11&amp;"")),"OK","?")</f>
        <v>?</v>
      </c>
      <c r="E13" s="35" t="str">
        <f aca="false">IF(EXACT(TRIM('SDTM DM (EXERCISE)'!D11&amp;""),TRIM(ANSWER!D11&amp;"")),"OK","?")</f>
        <v>OK</v>
      </c>
      <c r="F13" s="35" t="str">
        <f aca="false">IF(EXACT(TRIM('SDTM DM (EXERCISE)'!E11&amp;""),TRIM(ANSWER!E11&amp;"")),"OK","?")</f>
        <v>?</v>
      </c>
      <c r="G13" s="35" t="str">
        <f aca="false">IF(EXACT(TRIM('SDTM DM (EXERCISE)'!F11&amp;""),TRIM(ANSWER!F11&amp;"")),"OK","?")</f>
        <v>?</v>
      </c>
      <c r="H13" s="35" t="str">
        <f aca="false">IF(EXACT(TRIM('SDTM DM (EXERCISE)'!G11&amp;""),TRIM(ANSWER!G11&amp;"")),"OK","?")</f>
        <v>?</v>
      </c>
      <c r="I13" s="35" t="str">
        <f aca="false">IF(EXACT(TRIM('SDTM DM (EXERCISE)'!H11&amp;""),TRIM(ANSWER!H11&amp;"")),"OK","?")</f>
        <v>?</v>
      </c>
      <c r="J13" s="35" t="str">
        <f aca="false">IF(EXACT(TRIM('SDTM DM (EXERCISE)'!I11&amp;""),TRIM(ANSWER!I11&amp;"")),"OK","?")</f>
        <v>?</v>
      </c>
      <c r="K13" s="35" t="str">
        <f aca="false">IF(EXACT(TRIM('SDTM DM (EXERCISE)'!J11&amp;""),TRIM(ANSWER!J11&amp;"")),"OK","?")</f>
        <v>?</v>
      </c>
      <c r="L13" s="35" t="str">
        <f aca="false">IF(EXACT(TRIM('SDTM DM (EXERCISE)'!K11&amp;""),TRIM(ANSWER!K11&amp;"")),"OK","?")</f>
        <v>OK</v>
      </c>
      <c r="M13" s="35" t="str">
        <f aca="false">IF(EXACT(TRIM('SDTM DM (EXERCISE)'!L11&amp;""),TRIM(ANSWER!L11&amp;"")),"OK","?")</f>
        <v>OK</v>
      </c>
      <c r="N13" s="35" t="str">
        <f aca="false">IF(EXACT(TRIM('SDTM DM (EXERCISE)'!M11&amp;""),TRIM(ANSWER!M11&amp;"")),"OK","?")</f>
        <v>OK</v>
      </c>
      <c r="O13" s="35" t="str">
        <f aca="false">IF(EXACT(TRIM('SDTM DM (EXERCISE)'!N11&amp;""),TRIM(ANSWER!N11&amp;"")),"OK","?")</f>
        <v>?</v>
      </c>
      <c r="P13" s="35" t="str">
        <f aca="false">IF(EXACT(TRIM('SDTM DM (EXERCISE)'!O11&amp;""),TRIM(ANSWER!O11&amp;"")),"OK","?")</f>
        <v>?</v>
      </c>
      <c r="Q13" s="35" t="str">
        <f aca="false">IF(EXACT(TRIM('SDTM DM (EXERCISE)'!P11&amp;""),TRIM(ANSWER!P11&amp;"")),"OK","?")</f>
        <v>?</v>
      </c>
      <c r="R13" s="35" t="str">
        <f aca="false">IF(EXACT(TRIM('SDTM DM (EXERCISE)'!Q11&amp;""),TRIM(ANSWER!Q11&amp;"")),"OK","?")</f>
        <v>?</v>
      </c>
      <c r="S13" s="35" t="str">
        <f aca="false">IF(EXACT(TRIM('SDTM DM (EXERCISE)'!R11&amp;""),TRIM(ANSWER!R11&amp;"")),"OK","?")</f>
        <v>?</v>
      </c>
      <c r="T13" s="35" t="str">
        <f aca="false">IF(EXACT(TRIM('SDTM DM (EXERCISE)'!S11&amp;""),TRIM(ANSWER!S11&amp;"")),"OK","?")</f>
        <v>?</v>
      </c>
      <c r="U13" s="35" t="str">
        <f aca="false">IF(EXACT(TRIM('SDTM DM (EXERCISE)'!T11&amp;""),TRIM(ANSWER!T11&amp;"")),"OK","?")</f>
        <v>?</v>
      </c>
      <c r="V13" s="35" t="str">
        <f aca="false">IF(EXACT(TRIM('SDTM DM (EXERCISE)'!U11&amp;""),TRIM(ANSWER!U11&amp;"")),"OK","?")</f>
        <v>?</v>
      </c>
      <c r="W13" s="35" t="str">
        <f aca="false">IF(EXACT(TRIM('SDTM DM (EXERCISE)'!V11&amp;""),TRIM(ANSWER!V11&amp;"")),"OK","?")</f>
        <v>?</v>
      </c>
      <c r="X13" s="35" t="str">
        <f aca="false">IF(EXACT(TRIM('SDTM DM (EXERCISE)'!W11&amp;""),TRIM(ANSWER!W11&amp;"")),"OK","?")</f>
        <v>?</v>
      </c>
    </row>
    <row r="14" customFormat="false" ht="15" hidden="false" customHeight="false" outlineLevel="0" collapsed="false">
      <c r="A14" s="34" t="n">
        <f aca="false">'SDTM DM (EXERCISE)'!C12</f>
        <v>0</v>
      </c>
      <c r="B14" s="35" t="str">
        <f aca="false">IF(EXACT(TRIM('SDTM DM (EXERCISE)'!A12&amp;""),TRIM(ANSWER!A12&amp;"")),"OK","?")</f>
        <v>?</v>
      </c>
      <c r="C14" s="35" t="str">
        <f aca="false">IF(EXACT(TRIM('SDTM DM (EXERCISE)'!B12&amp;""),TRIM(ANSWER!B12&amp;"")),"OK","?")</f>
        <v>?</v>
      </c>
      <c r="D14" s="35" t="str">
        <f aca="false">IF(EXACT(TRIM('SDTM DM (EXERCISE)'!C12&amp;""),TRIM(ANSWER!C12&amp;"")),"OK","?")</f>
        <v>?</v>
      </c>
      <c r="E14" s="35" t="str">
        <f aca="false">IF(EXACT(TRIM('SDTM DM (EXERCISE)'!D12&amp;""),TRIM(ANSWER!D12&amp;"")),"OK","?")</f>
        <v>OK</v>
      </c>
      <c r="F14" s="35" t="str">
        <f aca="false">IF(EXACT(TRIM('SDTM DM (EXERCISE)'!E12&amp;""),TRIM(ANSWER!E12&amp;"")),"OK","?")</f>
        <v>?</v>
      </c>
      <c r="G14" s="35" t="str">
        <f aca="false">IF(EXACT(TRIM('SDTM DM (EXERCISE)'!F12&amp;""),TRIM(ANSWER!F12&amp;"")),"OK","?")</f>
        <v>?</v>
      </c>
      <c r="H14" s="35" t="str">
        <f aca="false">IF(EXACT(TRIM('SDTM DM (EXERCISE)'!G12&amp;""),TRIM(ANSWER!G12&amp;"")),"OK","?")</f>
        <v>?</v>
      </c>
      <c r="I14" s="35" t="str">
        <f aca="false">IF(EXACT(TRIM('SDTM DM (EXERCISE)'!H12&amp;""),TRIM(ANSWER!H12&amp;"")),"OK","?")</f>
        <v>?</v>
      </c>
      <c r="J14" s="35" t="str">
        <f aca="false">IF(EXACT(TRIM('SDTM DM (EXERCISE)'!I12&amp;""),TRIM(ANSWER!I12&amp;"")),"OK","?")</f>
        <v>?</v>
      </c>
      <c r="K14" s="35" t="str">
        <f aca="false">IF(EXACT(TRIM('SDTM DM (EXERCISE)'!J12&amp;""),TRIM(ANSWER!J12&amp;"")),"OK","?")</f>
        <v>?</v>
      </c>
      <c r="L14" s="35" t="str">
        <f aca="false">IF(EXACT(TRIM('SDTM DM (EXERCISE)'!K12&amp;""),TRIM(ANSWER!K12&amp;"")),"OK","?")</f>
        <v>OK</v>
      </c>
      <c r="M14" s="35" t="str">
        <f aca="false">IF(EXACT(TRIM('SDTM DM (EXERCISE)'!L12&amp;""),TRIM(ANSWER!L12&amp;"")),"OK","?")</f>
        <v>OK</v>
      </c>
      <c r="N14" s="35" t="str">
        <f aca="false">IF(EXACT(TRIM('SDTM DM (EXERCISE)'!M12&amp;""),TRIM(ANSWER!M12&amp;"")),"OK","?")</f>
        <v>OK</v>
      </c>
      <c r="O14" s="35" t="str">
        <f aca="false">IF(EXACT(TRIM('SDTM DM (EXERCISE)'!N12&amp;""),TRIM(ANSWER!N12&amp;"")),"OK","?")</f>
        <v>?</v>
      </c>
      <c r="P14" s="35" t="str">
        <f aca="false">IF(EXACT(TRIM('SDTM DM (EXERCISE)'!O12&amp;""),TRIM(ANSWER!O12&amp;"")),"OK","?")</f>
        <v>?</v>
      </c>
      <c r="Q14" s="35" t="str">
        <f aca="false">IF(EXACT(TRIM('SDTM DM (EXERCISE)'!P12&amp;""),TRIM(ANSWER!P12&amp;"")),"OK","?")</f>
        <v>?</v>
      </c>
      <c r="R14" s="35" t="str">
        <f aca="false">IF(EXACT(TRIM('SDTM DM (EXERCISE)'!Q12&amp;""),TRIM(ANSWER!Q12&amp;"")),"OK","?")</f>
        <v>?</v>
      </c>
      <c r="S14" s="35" t="str">
        <f aca="false">IF(EXACT(TRIM('SDTM DM (EXERCISE)'!R12&amp;""),TRIM(ANSWER!R12&amp;"")),"OK","?")</f>
        <v>?</v>
      </c>
      <c r="T14" s="35" t="str">
        <f aca="false">IF(EXACT(TRIM('SDTM DM (EXERCISE)'!S12&amp;""),TRIM(ANSWER!S12&amp;"")),"OK","?")</f>
        <v>?</v>
      </c>
      <c r="U14" s="35" t="str">
        <f aca="false">IF(EXACT(TRIM('SDTM DM (EXERCISE)'!T12&amp;""),TRIM(ANSWER!T12&amp;"")),"OK","?")</f>
        <v>?</v>
      </c>
      <c r="V14" s="35" t="str">
        <f aca="false">IF(EXACT(TRIM('SDTM DM (EXERCISE)'!U12&amp;""),TRIM(ANSWER!U12&amp;"")),"OK","?")</f>
        <v>?</v>
      </c>
      <c r="W14" s="35" t="str">
        <f aca="false">IF(EXACT(TRIM('SDTM DM (EXERCISE)'!V12&amp;""),TRIM(ANSWER!V12&amp;"")),"OK","?")</f>
        <v>?</v>
      </c>
      <c r="X14" s="35" t="str">
        <f aca="false">IF(EXACT(TRIM('SDTM DM (EXERCISE)'!W12&amp;""),TRIM(ANSWER!W12&amp;"")),"OK","?")</f>
        <v>?</v>
      </c>
    </row>
  </sheetData>
  <mergeCells count="1">
    <mergeCell ref="C5:N5"/>
  </mergeCells>
  <conditionalFormatting sqref="B8:X14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"?"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2026-07-19T15:40:06Z</dcterms:created>
  <dc:creator>openpyxl</dc:creator>
  <dc:description/>
  <dc:language>en-IN</dc:language>
  <cp:lastModifiedBy/>
  <dcterms:modified xsi:type="dcterms:W3CDTF">2026-07-19T15:40:06Z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